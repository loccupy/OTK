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prom-srv-04\Product\_ПЕРЕЕЗД_Public\Файлы конфигурации\v14\Заводские (очищающие)\"/>
    </mc:Choice>
  </mc:AlternateContent>
  <xr:revisionPtr revIDLastSave="0" documentId="13_ncr:1_{E19A2428-F2F9-4C3B-BCFE-223F2227360E}" xr6:coauthVersionLast="47" xr6:coauthVersionMax="47" xr10:uidLastSave="{00000000-0000-0000-0000-000000000000}"/>
  <bookViews>
    <workbookView xWindow="-120" yWindow="-120" windowWidth="29040" windowHeight="15840" tabRatio="617" xr2:uid="{00000000-000D-0000-FFFF-FFFF00000000}"/>
  </bookViews>
  <sheets>
    <sheet name="Config" sheetId="1" r:id="rId1"/>
    <sheet name="Display" sheetId="3" r:id="rId2"/>
    <sheet name="PushFilter" sheetId="4" r:id="rId3"/>
    <sheet name="PushSetup" sheetId="15" r:id="rId4"/>
    <sheet name="Push1" sheetId="12" r:id="rId5"/>
    <sheet name="Push2" sheetId="13" r:id="rId6"/>
    <sheet name="Push3" sheetId="14" r:id="rId7"/>
    <sheet name="Push4" sheetId="16" r:id="rId8"/>
    <sheet name="Push5" sheetId="17" r:id="rId9"/>
    <sheet name="DayTariff" sheetId="10" r:id="rId10"/>
    <sheet name="WeekTariff" sheetId="6" r:id="rId11"/>
    <sheet name="SeasonTariff" sheetId="9" r:id="rId12"/>
    <sheet name="Перечисления" sheetId="2" r:id="rId13"/>
    <sheet name="SelectedStage" sheetId="11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3" l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</calcChain>
</file>

<file path=xl/sharedStrings.xml><?xml version="1.0" encoding="utf-8"?>
<sst xmlns="http://schemas.openxmlformats.org/spreadsheetml/2006/main" count="873" uniqueCount="488">
  <si>
    <t>Parameter</t>
  </si>
  <si>
    <t>OBIS</t>
  </si>
  <si>
    <t>Att</t>
  </si>
  <si>
    <t>AttPropName</t>
  </si>
  <si>
    <t>Value</t>
  </si>
  <si>
    <t>Notes</t>
  </si>
  <si>
    <t>Интервал интегрирования 1</t>
  </si>
  <si>
    <t>1.0.0.8.4.255</t>
  </si>
  <si>
    <t>min</t>
  </si>
  <si>
    <t>Доступны значения: [1, 2, 3, 5, 10, 15, 20, 30, 60]</t>
  </si>
  <si>
    <t>Интервал интегрирования 2</t>
  </si>
  <si>
    <t>1.0.0.8.5.255</t>
  </si>
  <si>
    <t>Дата расчетного периода</t>
  </si>
  <si>
    <t>0.0.15.0.0.255</t>
  </si>
  <si>
    <t>ExecutionTime</t>
  </si>
  <si>
    <t>день месяца</t>
  </si>
  <si>
    <t>Доступны значения: от 1 до 28</t>
  </si>
  <si>
    <t>Номер аварийного тарифа</t>
  </si>
  <si>
    <t>0.0.96.5.131.255</t>
  </si>
  <si>
    <t>Доступны значения: от 1 до 4</t>
  </si>
  <si>
    <t>Режим работы реле</t>
  </si>
  <si>
    <t>Ограничитель мощности, порог</t>
  </si>
  <si>
    <t>Вт</t>
  </si>
  <si>
    <t>сек</t>
  </si>
  <si>
    <t>В</t>
  </si>
  <si>
    <t>Ограничитель магнитного поля, порог</t>
  </si>
  <si>
    <t>%</t>
  </si>
  <si>
    <t>Отключение реле при вскрытии крышки клеммников и корпуса</t>
  </si>
  <si>
    <t>APN</t>
  </si>
  <si>
    <t>0.0.25.4.0.255</t>
  </si>
  <si>
    <t>0.0.99.13.166.255</t>
  </si>
  <si>
    <t>0.0.99.13.167.255</t>
  </si>
  <si>
    <t>Режим работы GSM</t>
  </si>
  <si>
    <t>0.0.2.1.0.255</t>
  </si>
  <si>
    <t>Сервер</t>
  </si>
  <si>
    <t>Сервер или Клиент</t>
  </si>
  <si>
    <t>Порт (для режима сервера)</t>
  </si>
  <si>
    <t>0.2.25.0.0.255</t>
  </si>
  <si>
    <t>Destinations</t>
  </si>
  <si>
    <t>IP:PORT или "*"</t>
  </si>
  <si>
    <t>IP и порт сервера для приема инициативных сообщений</t>
  </si>
  <si>
    <t>0.0.25.9.0.255</t>
  </si>
  <si>
    <t>Destination</t>
  </si>
  <si>
    <t>Тип отправки инициативных сообщений</t>
  </si>
  <si>
    <t>Service</t>
  </si>
  <si>
    <t>TCP</t>
  </si>
  <si>
    <t>TCP или UDP</t>
  </si>
  <si>
    <t>Задержка перед отправкой инициативных сообщений</t>
  </si>
  <si>
    <t>RandomisationStartInterval</t>
  </si>
  <si>
    <t>Доступны значения: от 10 до 60 сек</t>
  </si>
  <si>
    <t>Задержка перед повтороной отправкой инициативного сообщения</t>
  </si>
  <si>
    <t>RepetitionDelay</t>
  </si>
  <si>
    <t>Доступны значения: от 240 до 3600 сек</t>
  </si>
  <si>
    <t>Временное окно отправки инициативных сообщений</t>
  </si>
  <si>
    <t>CommunicationWindow</t>
  </si>
  <si>
    <t>Формат: часы:минуты - часы:минуты</t>
  </si>
  <si>
    <t>Включение инициативных сообщений</t>
  </si>
  <si>
    <t>0.0.97.98.10.255</t>
  </si>
  <si>
    <t>Доступны значения: от 1 до 30 сек</t>
  </si>
  <si>
    <t>Часы пиковых нагрузок 1</t>
  </si>
  <si>
    <t>0.0.128.1.0.255</t>
  </si>
  <si>
    <t>0 - часы пиковых нагрузок неактивны
[часы-часы] - часы пиковых нагрузок активны на основе заданного диапозона в ячейке</t>
  </si>
  <si>
    <t>Часы пиковых нагрузок 2</t>
  </si>
  <si>
    <t>0.0.128.2.0.255</t>
  </si>
  <si>
    <t>Превышение мощности, порог</t>
  </si>
  <si>
    <t>1.0.15.35.128.255</t>
  </si>
  <si>
    <t>Доступны значения: от 10 до 18400 Вт</t>
  </si>
  <si>
    <t>Превышение мощности в часы пиковых нагрузок, порог</t>
  </si>
  <si>
    <t>1.0.15.35.130.255</t>
  </si>
  <si>
    <t>Превышение тангенса нагрузки, порог</t>
  </si>
  <si>
    <t>1.0.131.35.0.255</t>
  </si>
  <si>
    <t>Доступны значения: от 0.02 до 5.67</t>
  </si>
  <si>
    <t>Превышение тангенса нагрузки, таймер для фиксации события</t>
  </si>
  <si>
    <t>1.0.131.44.0.255</t>
  </si>
  <si>
    <t>Согласованное напряжение</t>
  </si>
  <si>
    <t>1.0.0.6.4.255</t>
  </si>
  <si>
    <t>Доступны значения: от 184 до 276 В</t>
  </si>
  <si>
    <t>Значение отклонения для фиксации провала напряжения</t>
  </si>
  <si>
    <t>1.0.12.31.1.255</t>
  </si>
  <si>
    <t>Доступны значения: от 5 до 30 %</t>
  </si>
  <si>
    <t>Значение отклонения для фиксации перенапряжения</t>
  </si>
  <si>
    <t>1.0.12.35.1.255</t>
  </si>
  <si>
    <t>Значение отклонения для фиксации пропадания напряжения</t>
  </si>
  <si>
    <t>1.0.12.39.1.255</t>
  </si>
  <si>
    <t>Доступны значения: от 85 до 95 %</t>
  </si>
  <si>
    <t>Значение отклонения для фиксации события по частоте</t>
  </si>
  <si>
    <t>1.0.145.35.0.255</t>
  </si>
  <si>
    <t>Гц</t>
  </si>
  <si>
    <t>Режим работы импульсного выхода 1 (АЭ)</t>
  </si>
  <si>
    <t>0.1.96.4.2.255</t>
  </si>
  <si>
    <t>2 - Потребление активной энергии
3 - Генерация активной энергии
4 - Полная активная энергия
5 - Потребление реактивной энергии
6 - Генерация активной энергии
7 - Полная реактивная энергия</t>
  </si>
  <si>
    <t>0.0.96.4.2.255</t>
  </si>
  <si>
    <t>Постоянная счетчика для активной энергии</t>
  </si>
  <si>
    <t>1.0.0.3.3.255</t>
  </si>
  <si>
    <t>импульсов на 1 кВт</t>
  </si>
  <si>
    <t>Постоянная счетчика для реактивной энергии</t>
  </si>
  <si>
    <t>1.0.0.3.4.255</t>
  </si>
  <si>
    <t>Режим работы ЖКИ</t>
  </si>
  <si>
    <t>0.0.96.4.1.255</t>
  </si>
  <si>
    <t>0 - автопрокрутка неактивна. Подсветка выключается по неактивности кнопок
1 - автопрокрутка неактивна. Переход на начальный экрна и подсветка выключается по неактивности кнопок
2 - автопрокрутка активна. Переход на начальный экрна и подсветка выключается по неактивности кнопок
4 - автопрокрутка неактивна. Подсветка постоянно включена
5 - автопрокрутка неактивна. Подсветка постоянно включена. Переход на начальны экран по неактивности кнопок
6 - автопрокрутка активна. Подсветка постоянно включена. Переход на начальны экран по неактивности кнопок</t>
  </si>
  <si>
    <t>Период автопрокрутки</t>
  </si>
  <si>
    <t>0.0.21.0.1.255</t>
  </si>
  <si>
    <t>CapturePeriod</t>
  </si>
  <si>
    <t>Доступны значения: от 1 до 100 сек</t>
  </si>
  <si>
    <t>Скорость подключения по RS-485</t>
  </si>
  <si>
    <t>0.1.22.0.0.255</t>
  </si>
  <si>
    <t>Скорость подключения по оптопорту</t>
  </si>
  <si>
    <t>0.0.22.0.0.255</t>
  </si>
  <si>
    <t>Доступны значения: [300, 600, 1200, 2400, 4800, 9600]</t>
  </si>
  <si>
    <t>Интервал интегрирования 1:</t>
  </si>
  <si>
    <t>Интервал интегрирования 2:</t>
  </si>
  <si>
    <t>Клиент</t>
  </si>
  <si>
    <t>UDP</t>
  </si>
  <si>
    <t>Status</t>
  </si>
  <si>
    <t>Активная энергия +, Т1</t>
  </si>
  <si>
    <t>1.0.1.8.1.255</t>
  </si>
  <si>
    <t>0 - не отображать
1 - отображать</t>
  </si>
  <si>
    <t>Активная энергия +, Т2</t>
  </si>
  <si>
    <t>1.0.1.8.2.255</t>
  </si>
  <si>
    <t>Активная энергия +, Т3</t>
  </si>
  <si>
    <t>1.0.1.8.3.255</t>
  </si>
  <si>
    <t>Активная энергия +, Т4</t>
  </si>
  <si>
    <t>1.0.1.8.4.255</t>
  </si>
  <si>
    <t>Активная энергия +, сумма</t>
  </si>
  <si>
    <t>1.0.1.8.0.255</t>
  </si>
  <si>
    <t>Активная энергия -, Т1</t>
  </si>
  <si>
    <t>1.0.2.8.1.255</t>
  </si>
  <si>
    <t>Активная энергия -, Т2</t>
  </si>
  <si>
    <t>1.0.2.8.2.255</t>
  </si>
  <si>
    <t>Активная энергия -, Т3</t>
  </si>
  <si>
    <t>1.0.2.8.3.255</t>
  </si>
  <si>
    <t>Активная энергия -, Т4</t>
  </si>
  <si>
    <t>1.0.2.8.4.255</t>
  </si>
  <si>
    <t>Активная энергия -, сумма</t>
  </si>
  <si>
    <t>1.0.2.8.0.255</t>
  </si>
  <si>
    <t>Реактивная энергия +, Т1</t>
  </si>
  <si>
    <t>1.0.3.8.1.255</t>
  </si>
  <si>
    <t>Реактивная энергия +, Т2</t>
  </si>
  <si>
    <t>1.0.3.8.2.255</t>
  </si>
  <si>
    <t>Реактивная энергия +, Т3</t>
  </si>
  <si>
    <t>1.0.3.8.3.255</t>
  </si>
  <si>
    <t>Реактивная энергия +, Т4</t>
  </si>
  <si>
    <t>1.0.3.8.4.255</t>
  </si>
  <si>
    <t>Реактивная энергия +, сумма</t>
  </si>
  <si>
    <t>1.0.3.8.0.255</t>
  </si>
  <si>
    <t>Реактивная энергия -, Т1</t>
  </si>
  <si>
    <t>1.0.4.8.1.255</t>
  </si>
  <si>
    <t>Реактивная энергия -, Т2</t>
  </si>
  <si>
    <t>1.0.4.8.2.255</t>
  </si>
  <si>
    <t>Реактивная энергия -, Т3</t>
  </si>
  <si>
    <t>1.0.4.8.3.255</t>
  </si>
  <si>
    <t>Реактивная энергия -, Т4</t>
  </si>
  <si>
    <t>1.0.4.8.4.255</t>
  </si>
  <si>
    <t>Реактивная энергия -, сумма</t>
  </si>
  <si>
    <t>1.0.4.8.0.255</t>
  </si>
  <si>
    <t>Напряжение</t>
  </si>
  <si>
    <t>1.0.12.7.0.255</t>
  </si>
  <si>
    <t>Ток</t>
  </si>
  <si>
    <t>1.0.11.7.0.255</t>
  </si>
  <si>
    <t>Ток нейтрали</t>
  </si>
  <si>
    <t>1.0.91.7.0.255</t>
  </si>
  <si>
    <t>Активная мощность</t>
  </si>
  <si>
    <t>1.0.1.7.0.255</t>
  </si>
  <si>
    <t>Реактивная мощность</t>
  </si>
  <si>
    <t>1.0.3.7.0.255</t>
  </si>
  <si>
    <t>Полная мощность</t>
  </si>
  <si>
    <t>1.0.9.7.0.255</t>
  </si>
  <si>
    <t>Коэффициент мощности</t>
  </si>
  <si>
    <t>1.0.13.7.0.255</t>
  </si>
  <si>
    <t>Частота</t>
  </si>
  <si>
    <t>1.0.14.7.0.255</t>
  </si>
  <si>
    <t>Активная энергия +, Т1 на конец расчетного периода</t>
  </si>
  <si>
    <t>1.0.1.8.1.101</t>
  </si>
  <si>
    <t>Активная энергия +, Т2 на конец расчетного периода</t>
  </si>
  <si>
    <t>1.0.1.8.2.101</t>
  </si>
  <si>
    <t>Активная энергия +, Т3 на конец расчетного периода</t>
  </si>
  <si>
    <t>1.0.1.8.3.101</t>
  </si>
  <si>
    <t>Активная энергия +, Т4 на конец расчетного периода</t>
  </si>
  <si>
    <t>1.0.1.8.4.101</t>
  </si>
  <si>
    <t>Активная энергия +, сумма на конец расчетного периода</t>
  </si>
  <si>
    <t>1.0.1.8.0.101</t>
  </si>
  <si>
    <t>Активная энергия -, Т1 на конец расчетного периода</t>
  </si>
  <si>
    <t>1.0.2.8.1.101</t>
  </si>
  <si>
    <t>Активная энергия -, Т2 на конец расчетного периода</t>
  </si>
  <si>
    <t>1.0.2.8.2.101</t>
  </si>
  <si>
    <t>Активная энергия -, Т3 на конец расчетного периода</t>
  </si>
  <si>
    <t>1.0.2.8.3.101</t>
  </si>
  <si>
    <t>Активная энергия -, Т4 на конец расчетного периода</t>
  </si>
  <si>
    <t>1.0.2.8.4.101</t>
  </si>
  <si>
    <t>Активная энергия -, сумма на конец расчетного периода</t>
  </si>
  <si>
    <t>1.0.2.8.0.101</t>
  </si>
  <si>
    <t>Реактивная энергия +, Т1 на конец расчетного периода</t>
  </si>
  <si>
    <t>1.0.3.8.1.101</t>
  </si>
  <si>
    <t>Реактивная энергия +, Т2 на конец расчетного периода</t>
  </si>
  <si>
    <t>1.0.3.8.2.101</t>
  </si>
  <si>
    <t>Реактивная энергия +, Т3 на конец расчетного периода</t>
  </si>
  <si>
    <t>1.0.3.8.3.101</t>
  </si>
  <si>
    <t>Реактивная энергия +, Т4 на конец расчетного периода</t>
  </si>
  <si>
    <t>1.0.3.8.4.101</t>
  </si>
  <si>
    <t>Реактивная энергия +, сумма на конец расчетного периода</t>
  </si>
  <si>
    <t>1.0.3.8.0.101</t>
  </si>
  <si>
    <t>Реактивная энергия -, Т1 на конец расчетного периода</t>
  </si>
  <si>
    <t>1.0.4.8.1.101</t>
  </si>
  <si>
    <t>Реактивная энергия -, Т2 на конец расчетного периода</t>
  </si>
  <si>
    <t>1.0.4.8.2.101</t>
  </si>
  <si>
    <t>Реактивная энергия -, Т3 на конец расчетного периода</t>
  </si>
  <si>
    <t>1.0.4.8.3.101</t>
  </si>
  <si>
    <t>Реактивная энергия -, Т4 на конец расчетного периода</t>
  </si>
  <si>
    <t>1.0.4.8.4.101</t>
  </si>
  <si>
    <t>Реактивная энергия -, сумма на конец расчетного периода</t>
  </si>
  <si>
    <t>1.0.4.8.0.101</t>
  </si>
  <si>
    <t>Скорость по порту Р1 (оптопорт)</t>
  </si>
  <si>
    <t>Скорость по порту Р2 (RS-485)</t>
  </si>
  <si>
    <t>Версия метрологического ПО</t>
  </si>
  <si>
    <t>0.0.96.1.2.255</t>
  </si>
  <si>
    <t>Версия неметрологического ПО</t>
  </si>
  <si>
    <t>0.0.96.1.8.255</t>
  </si>
  <si>
    <t>Дата</t>
  </si>
  <si>
    <t>0.0.0.9.2.255</t>
  </si>
  <si>
    <t>Время</t>
  </si>
  <si>
    <t>0.0.0.9.1.255</t>
  </si>
  <si>
    <t>Уведомление</t>
  </si>
  <si>
    <t>Бит</t>
  </si>
  <si>
    <t>Статус</t>
  </si>
  <si>
    <t>Событие в журнале самодиагностики</t>
  </si>
  <si>
    <t xml:space="preserve">0 - запрещен
1 - разрешен
</t>
  </si>
  <si>
    <t>Прерывание напряжения</t>
  </si>
  <si>
    <t>Событие в журнале качества сети</t>
  </si>
  <si>
    <t>Воздействие магнитного поля - начало</t>
  </si>
  <si>
    <t>Вскрытие клеммной крышки - начало</t>
  </si>
  <si>
    <t>Вскрытие корпуса - начало</t>
  </si>
  <si>
    <t>Превышение лимита активной мощности</t>
  </si>
  <si>
    <t>Сработка реле по максимальному току</t>
  </si>
  <si>
    <t>Сработка реле по магнитному полю</t>
  </si>
  <si>
    <t>Сработка реле по максимальному напряжению</t>
  </si>
  <si>
    <t>Сработка реле по небалансу токов</t>
  </si>
  <si>
    <t>Сработка реле по превышению температуры</t>
  </si>
  <si>
    <t>Событие в журнале программирования</t>
  </si>
  <si>
    <t>Небаланс токов - начало</t>
  </si>
  <si>
    <t>Возврат реле в замкнутое состояние</t>
  </si>
  <si>
    <t>Воздействие магнитного поля - окончание</t>
  </si>
  <si>
    <t>Вскрытие клеммной крышки - окончание</t>
  </si>
  <si>
    <t>Вскрытие корпуса - окончание</t>
  </si>
  <si>
    <t>Небаланс токов - окончание</t>
  </si>
  <si>
    <t>0.0.1.0.0.255</t>
  </si>
  <si>
    <t>мин</t>
  </si>
  <si>
    <t>Настройка часового пояса</t>
  </si>
  <si>
    <t>от -720 до 840 символов включительно</t>
  </si>
  <si>
    <t>TimeZone</t>
  </si>
  <si>
    <t>Номер тарифа</t>
  </si>
  <si>
    <t>Номер дня</t>
  </si>
  <si>
    <t>Название</t>
  </si>
  <si>
    <t>Пн</t>
  </si>
  <si>
    <t>Ср</t>
  </si>
  <si>
    <t>Чт</t>
  </si>
  <si>
    <t>Пт</t>
  </si>
  <si>
    <t>Сб</t>
  </si>
  <si>
    <t>Вс</t>
  </si>
  <si>
    <t>Начало</t>
  </si>
  <si>
    <t>Недельное расписание</t>
  </si>
  <si>
    <t>01/01</t>
  </si>
  <si>
    <t>0</t>
  </si>
  <si>
    <t>*</t>
  </si>
  <si>
    <t>0-0</t>
  </si>
  <si>
    <t>Default</t>
  </si>
  <si>
    <t>60</t>
  </si>
  <si>
    <t>10</t>
  </si>
  <si>
    <t>230</t>
  </si>
  <si>
    <t>Номер ПУ</t>
  </si>
  <si>
    <t>0.0.96.1.0.255</t>
  </si>
  <si>
    <t>Display</t>
  </si>
  <si>
    <t>Push</t>
  </si>
  <si>
    <t>Title</t>
  </si>
  <si>
    <t>Switch</t>
  </si>
  <si>
    <t>7</t>
  </si>
  <si>
    <t>Управление режимом передачи данных между сетями RS-485 и GSM</t>
  </si>
  <si>
    <t>0.0.164.164.0.255</t>
  </si>
  <si>
    <t>74 - мастер режим вкл, 192 - мастер режим выкл</t>
  </si>
  <si>
    <t>192</t>
  </si>
  <si>
    <t>0.0.42.0.0.255</t>
  </si>
  <si>
    <t>Логическое имя устройства</t>
  </si>
  <si>
    <t>Серийный номер прибора</t>
  </si>
  <si>
    <t>Активная энергия нарастающим итогом (импорт), значение</t>
  </si>
  <si>
    <t>Активная энергия нарастающим итогом (импорт), масштаб и единица измерения</t>
  </si>
  <si>
    <t>Активная  энергия нарастающим итогом (экспорт), значение</t>
  </si>
  <si>
    <t>Активная  энергия нарастающим итогом (экспорт), масштаб и единица измерения</t>
  </si>
  <si>
    <t>Реактивная энергия нарастающим итогом (импорт), значение</t>
  </si>
  <si>
    <t>Реактивная энергия нарастающим итогом (импорт), масштаб и единица измерения</t>
  </si>
  <si>
    <t>Реактивная энергия нарастающим итогом (экспорт), значение</t>
  </si>
  <si>
    <t>Реактивная энергия нарастающим итогом (экспорт), масштаб и единица измерения</t>
  </si>
  <si>
    <t>Текущее состояние инициативного выхода</t>
  </si>
  <si>
    <t>Фильтр инициативного выхода</t>
  </si>
  <si>
    <t>Дата начала последнего прерывания напряжения длительностью более 10 часов</t>
  </si>
  <si>
    <t>Продолжительность последнего прерывания напряжения длительностью более 10 часов, часы</t>
  </si>
  <si>
    <t>Дата окончания последнего прерывания напряжения длительностью более 10 часов</t>
  </si>
  <si>
    <t>Данные о последней записи в журнал</t>
  </si>
  <si>
    <t>0.0.97.98.0.255</t>
  </si>
  <si>
    <t>0.0.96.50.26.255</t>
  </si>
  <si>
    <t>0.0.96.50.27.255</t>
  </si>
  <si>
    <t>0.0.96.50.31.255</t>
  </si>
  <si>
    <t>0.0.96.5.135.255</t>
  </si>
  <si>
    <t>Attribute</t>
  </si>
  <si>
    <t>0.1.25.9.0.255</t>
  </si>
  <si>
    <t>0.2.25.9.0.255</t>
  </si>
  <si>
    <t>Description</t>
  </si>
  <si>
    <t>Изменение состояния дискретных входов</t>
  </si>
  <si>
    <t>Список объектов для передачи</t>
  </si>
  <si>
    <t>Причина передачи Push 1</t>
  </si>
  <si>
    <t>0.0.96.5.134.255</t>
  </si>
  <si>
    <t>0.2.96.5.134.255</t>
  </si>
  <si>
    <t>0.1.96.5.134.255</t>
  </si>
  <si>
    <t>Tariff</t>
  </si>
  <si>
    <t>Тип устройства</t>
  </si>
  <si>
    <t>Push Objects</t>
  </si>
  <si>
    <t>Config Objects</t>
  </si>
  <si>
    <t>0 - все пуши выключены
1 - все пуши включены
2 - настройка по битам</t>
  </si>
  <si>
    <t>0.0.96.1.1.255</t>
  </si>
  <si>
    <t>Ток фазы А</t>
  </si>
  <si>
    <t>1.0.31.7.0.255</t>
  </si>
  <si>
    <t>Ток фазы B</t>
  </si>
  <si>
    <t>1.0.51.7.0.255</t>
  </si>
  <si>
    <t>Ток фазы C</t>
  </si>
  <si>
    <t>1.0.71.7.0.255</t>
  </si>
  <si>
    <t>Напряжение фазы А</t>
  </si>
  <si>
    <t>1.0.32.7.0.255</t>
  </si>
  <si>
    <t>Напряжение фазы B</t>
  </si>
  <si>
    <t>1.0.52.7.0.255</t>
  </si>
  <si>
    <t>Напряжение фазы C</t>
  </si>
  <si>
    <t>1.0.72.7.0.255</t>
  </si>
  <si>
    <t>Активная мощность фазы А</t>
  </si>
  <si>
    <t>1.0.21.7.0.255</t>
  </si>
  <si>
    <t>Активная мощность фазы B</t>
  </si>
  <si>
    <t>1.0.41.7.0.255</t>
  </si>
  <si>
    <t>Активная мощность фазы C</t>
  </si>
  <si>
    <t>1.0.61.7.0.255</t>
  </si>
  <si>
    <t>Реактивная мощность фазы А</t>
  </si>
  <si>
    <t>1.0.23.7.0.255</t>
  </si>
  <si>
    <t>Реактивная мощность фазы B</t>
  </si>
  <si>
    <t>1.0.43.7.0.255</t>
  </si>
  <si>
    <t>Реактивная мощность фазы C</t>
  </si>
  <si>
    <t>1.0.63.7.0.255</t>
  </si>
  <si>
    <t>Полная мощность фазы А</t>
  </si>
  <si>
    <t>1.0.29.7.0.255</t>
  </si>
  <si>
    <t>Полная мощность фазы B</t>
  </si>
  <si>
    <t>1.0.49.7.0.255</t>
  </si>
  <si>
    <t>Полная мощность фазы C</t>
  </si>
  <si>
    <t>1.0.69.7.0.255</t>
  </si>
  <si>
    <t>Коэффициент мощности фазы А</t>
  </si>
  <si>
    <t>1.0.33.7.0.255</t>
  </si>
  <si>
    <t>Коэффициент мощности фазы B</t>
  </si>
  <si>
    <t>1.0.53.7.0.255</t>
  </si>
  <si>
    <t>Коэффициент мощности фазы C</t>
  </si>
  <si>
    <t>1.0.73.7.0.255</t>
  </si>
  <si>
    <t>Линейное напряжение фазы А</t>
  </si>
  <si>
    <t xml:space="preserve">1.0.124.7.0.255 </t>
  </si>
  <si>
    <t>Линейное напряжение фазы B</t>
  </si>
  <si>
    <t xml:space="preserve">1.0.125.7.0.255 </t>
  </si>
  <si>
    <t>Линейное напряжение фазы C</t>
  </si>
  <si>
    <t xml:space="preserve">1.0.126.7.0.255 </t>
  </si>
  <si>
    <t>Доступны значения: от 0 до 2.5 Гц</t>
  </si>
  <si>
    <t>4</t>
  </si>
  <si>
    <t>Доступны значения: от 250 до 10000</t>
  </si>
  <si>
    <t>Доступны значения: [300, 600, 1200, 2400, 4800, 9600, 19200, 38400, 57600. 115200]</t>
  </si>
  <si>
    <t>Коэффициент не симметрии по обратной последовательности</t>
  </si>
  <si>
    <t>1.0.133.44.0.255</t>
  </si>
  <si>
    <t>от 1 до 30 секунд включительно</t>
  </si>
  <si>
    <t>Порог для фиксации коэффициента не симметрии напряжений</t>
  </si>
  <si>
    <t>1.0.133.35.0.255</t>
  </si>
  <si>
    <t>от 1 до 100 % включительно</t>
  </si>
  <si>
    <t>0.0.96.3.2.255</t>
  </si>
  <si>
    <t>Property Name</t>
  </si>
  <si>
    <t>Measure unit</t>
  </si>
  <si>
    <t>Mode</t>
  </si>
  <si>
    <t>Port</t>
  </si>
  <si>
    <t>CommunicationSpeed</t>
  </si>
  <si>
    <t>Максимальная длина поля данных при передаче (Модуль связи)</t>
  </si>
  <si>
    <t>0.2.22.0.0.255</t>
  </si>
  <si>
    <t>MaximumInfoLengthTransmit</t>
  </si>
  <si>
    <t>Доступны значения: от 64  до 787</t>
  </si>
  <si>
    <t>Максимальная длина поля данных при приеме (Модуль связи)</t>
  </si>
  <si>
    <t>MaximumInfoLengthReceive</t>
  </si>
  <si>
    <t>Скорость обмена (Модуль связи)</t>
  </si>
  <si>
    <t>0.1.25.4.0.255</t>
  </si>
  <si>
    <t>0.2.25.4.0.255</t>
  </si>
  <si>
    <t>0.3.25.4.0.255</t>
  </si>
  <si>
    <t>0.4.25.4.0.255</t>
  </si>
  <si>
    <t>0.5.25.4.0.255</t>
  </si>
  <si>
    <t>Доступны значения: от 35 до 126 (от '# ' до '~' в ASCII кодировке)</t>
  </si>
  <si>
    <t>0.2.99.13.166.255</t>
  </si>
  <si>
    <t>Пользователь APN 3</t>
  </si>
  <si>
    <t>0.3.99.13.166.255</t>
  </si>
  <si>
    <t>Пользователь APN 4</t>
  </si>
  <si>
    <t>0.4.99.13.166.255</t>
  </si>
  <si>
    <t>Пользователь APN 5</t>
  </si>
  <si>
    <t>0.5.99.13.166.255</t>
  </si>
  <si>
    <t>Пароль APN 1</t>
  </si>
  <si>
    <t>0.1.99.13.167.255</t>
  </si>
  <si>
    <t>Пароль APN 2</t>
  </si>
  <si>
    <t>0.2.99.13.167.255</t>
  </si>
  <si>
    <t>Пароль APN 3</t>
  </si>
  <si>
    <t>0.3.99.13.167.255</t>
  </si>
  <si>
    <t>Пароль APN 4</t>
  </si>
  <si>
    <t>0.4.99.13.167.255</t>
  </si>
  <si>
    <t>Пароль APN 5</t>
  </si>
  <si>
    <t>0.5.99.13.167.255</t>
  </si>
  <si>
    <t>Состояние режима Multi-sim</t>
  </si>
  <si>
    <t>0.1.164.164.0.255</t>
  </si>
  <si>
    <t>Доступны значения: 93 включен или 124 выключен</t>
  </si>
  <si>
    <t>Выбор предпочтительного типа модуля связи (RF/Not RF)</t>
  </si>
  <si>
    <t>0.0.2.164.14.255</t>
  </si>
  <si>
    <t>0.1.99.13.166.255</t>
  </si>
  <si>
    <t>APN 1</t>
  </si>
  <si>
    <t>Логин APN 1</t>
  </si>
  <si>
    <t>IP и порт сервера 1</t>
  </si>
  <si>
    <t>IP и порт сервера 2 (резервный)</t>
  </si>
  <si>
    <t>IP и порт сервера 3 (резервный)</t>
  </si>
  <si>
    <t>IP и порт сервера 4 (резервный)</t>
  </si>
  <si>
    <t>Доступны значения: от 9600 до 115200</t>
  </si>
  <si>
    <t>APN 2</t>
  </si>
  <si>
    <t>APN 3</t>
  </si>
  <si>
    <t>APN 4</t>
  </si>
  <si>
    <t>APN 5</t>
  </si>
  <si>
    <t>APN 6</t>
  </si>
  <si>
    <t xml:space="preserve">Пользователь APN 2 </t>
  </si>
  <si>
    <t>Пользователь APN 6</t>
  </si>
  <si>
    <t>Пароль APN 6</t>
  </si>
  <si>
    <t>Доступны значения: 1 (RF) или 0 (4G / NB-IoT)</t>
  </si>
  <si>
    <t>Режим работы импульсного выхода 1 (РЭ)</t>
  </si>
  <si>
    <t>Режим работы импульсного выхода 2 (АЭ)</t>
  </si>
  <si>
    <t>Доступны значения: от 0 до 15</t>
  </si>
  <si>
    <t>Состояние дискретных выходов</t>
  </si>
  <si>
    <t>Выбор предпочтительного типа сети (GSM/NB IoT/4G)</t>
  </si>
  <si>
    <t>0.0.2.164.13.255</t>
  </si>
  <si>
    <t>Доступны значения: 0 - авт; 1 - GSM (2G); 2 - 4G либо NB-IoT.</t>
  </si>
  <si>
    <t>Пуш данных по расписанию (период 1 Push4)</t>
  </si>
  <si>
    <t>0.1.15.0.4.255</t>
  </si>
  <si>
    <t>Доступны значения: *.*.* *:*:*</t>
  </si>
  <si>
    <t>Пуш данных по расписанию (период 1 Push5)</t>
  </si>
  <si>
    <t>0.2.15.0.4.255</t>
  </si>
  <si>
    <t>0.10.25.9.0.255</t>
  </si>
  <si>
    <t>0.11.25.9.0.255</t>
  </si>
  <si>
    <t>Data Index</t>
  </si>
  <si>
    <t>Профиль энергии за интервал записи 1</t>
  </si>
  <si>
    <t>1.0.99.1.0.255</t>
  </si>
  <si>
    <t>Суточный профиль</t>
  </si>
  <si>
    <t>1.0.98.2.0.255</t>
  </si>
  <si>
    <t>Выбор скрипта для (период 1 Push4)</t>
  </si>
  <si>
    <t>Type</t>
  </si>
  <si>
    <t>Доступны значения: 1, 2, 3, 4, 5</t>
  </si>
  <si>
    <t>Выбор скрипта для (период 1 Push5)</t>
  </si>
  <si>
    <t>*.*.*  *:*:*</t>
  </si>
  <si>
    <t>Пуш данных по расписанию (период 2 Push4)</t>
  </si>
  <si>
    <t>Пуш данных по расписанию (период 3 Push4)</t>
  </si>
  <si>
    <t>Пуш данных по расписанию (период 4 Push4)</t>
  </si>
  <si>
    <t>Пуш данных по расписанию (период 5 Push4)</t>
  </si>
  <si>
    <t>Пуш данных по расписанию (период 6 Push4)</t>
  </si>
  <si>
    <t>Пуш данных по расписанию (период 7 Push4)</t>
  </si>
  <si>
    <t>Пуш данных по расписанию (период 8 Push4)</t>
  </si>
  <si>
    <t>Пуш данных по расписанию (период 2 Push5)</t>
  </si>
  <si>
    <t>Пуш данных по расписанию (период 3 Push5)</t>
  </si>
  <si>
    <t>Пуш данных по расписанию (период 4 Push5)</t>
  </si>
  <si>
    <t>Пуш данных по расписанию (период 5 Push5)</t>
  </si>
  <si>
    <t>Пуш данных по расписанию (период 6 Push5)</t>
  </si>
  <si>
    <t>Пуш данных по расписанию (период 7 Push5)</t>
  </si>
  <si>
    <t>Пуш данных по расписанию (период 8 Push5)</t>
  </si>
  <si>
    <t>Адрес FTP-сервера</t>
  </si>
  <si>
    <t>0.0.2.164.1.255</t>
  </si>
  <si>
    <t>Число xxx может принимать значения от 0 до 255</t>
  </si>
  <si>
    <t>Логин для FTP-сервера</t>
  </si>
  <si>
    <t>0.0.2.164.2.255</t>
  </si>
  <si>
    <t>Максимальная длина 15 символов</t>
  </si>
  <si>
    <t>Пароль для FTP-сервера</t>
  </si>
  <si>
    <t>0.0.2.164.3.255</t>
  </si>
  <si>
    <t>Путь к файлу ПО на FTP-сервере</t>
  </si>
  <si>
    <t>0.0.2.164.4.255</t>
  </si>
  <si>
    <t>Данный объект содержит путь к файлу прошивки модуля связи на FTP-сервере</t>
  </si>
  <si>
    <t>Пороги срабатывания быстрого преобразования Фурье</t>
  </si>
  <si>
    <t>0.0.2.164.6.255</t>
  </si>
  <si>
    <t>255.255.255.255:21</t>
  </si>
  <si>
    <t>ftpuser</t>
  </si>
  <si>
    <t>ftppassword</t>
  </si>
  <si>
    <t>/</t>
  </si>
  <si>
    <t>Число повторов</t>
  </si>
  <si>
    <t>NumberOfRetries</t>
  </si>
  <si>
    <t>&lt;Structure&gt;
  &lt;Structure&gt;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&lt;/Structure&gt;
  &lt;Structure&gt;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&lt;/Structure&gt;
  &lt;Structure&gt;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&lt;/Structure&gt;
  &lt;Structure&gt;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&lt;/Structure&gt;
  &lt;Structure&gt;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&lt;/Structure&gt;
  &lt;Structure&gt;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  &lt;UInt16 Value="65535" /&gt;
  &lt;/Structure&gt;
&lt;/Structure&gt;</t>
  </si>
  <si>
    <t>Пороги срабатывания детектора короткого замыкания</t>
  </si>
  <si>
    <t>0.0.2.164.11.255</t>
  </si>
  <si>
    <t>&lt;Structure&gt;
  &lt;UInt32 Value="30" /&gt;
  &lt;UInt32 Value="30" /&gt;
  &lt;UInt32 Value="30" /&gt;
  &lt;UInt32 Value="30" /&gt;
  &lt;UInt32 Value="30" /&gt;
  &lt;UInt32 Value="30" /&gt;
&lt;/Structure&gt;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</si>
</sst>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6"/>
      <color rgb="FF000000"/>
      <name val="Segoe UI"/>
      <family val="2"/>
      <charset val="204"/>
    </font>
    <font>
      <sz val="12"/>
      <color rgb="FF172B4D"/>
      <name val="Segoe UI"/>
      <family val="2"/>
      <charset val="204"/>
    </font>
    <font>
      <sz val="12"/>
      <color rgb="FF000000"/>
      <name val="Segoe UI"/>
      <family val="2"/>
      <charset val="204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172B4D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9C0006"/>
      <name val="Calibri"/>
      <family val="2"/>
      <charset val="204"/>
      <scheme val="minor"/>
    </font>
    <font>
      <sz val="11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DEEBF7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4" tint="0.79998168889431442"/>
        <bgColor rgb="FFFFFFCC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9" fillId="10" borderId="0" applyNumberFormat="0" applyBorder="0" applyAlignment="0" applyProtection="0"/>
  </cellStyleXfs>
  <cellXfs count="68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 textRotation="90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5" borderId="1" xfId="1" applyFont="1" applyFill="1" applyBorder="1" applyAlignment="1">
      <alignment horizontal="left" vertical="center"/>
    </xf>
    <xf numFmtId="0" fontId="1" fillId="5" borderId="1" xfId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5" borderId="1" xfId="1" applyFont="1" applyFill="1" applyBorder="1" applyAlignment="1">
      <alignment horizontal="left" vertical="center" wrapText="1"/>
    </xf>
    <xf numFmtId="49" fontId="1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6" borderId="0" xfId="0" applyFill="1"/>
    <xf numFmtId="0" fontId="8" fillId="6" borderId="0" xfId="0" applyFont="1" applyFill="1"/>
    <xf numFmtId="0" fontId="0" fillId="7" borderId="0" xfId="0" applyFill="1"/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center" vertical="center"/>
    </xf>
    <xf numFmtId="0" fontId="1" fillId="8" borderId="1" xfId="1" applyFont="1" applyFill="1" applyBorder="1" applyAlignment="1">
      <alignment horizontal="center" vertical="center"/>
    </xf>
    <xf numFmtId="0" fontId="1" fillId="9" borderId="1" xfId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0" fontId="10" fillId="6" borderId="1" xfId="2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 wrapText="1"/>
    </xf>
    <xf numFmtId="0" fontId="1" fillId="6" borderId="3" xfId="0" applyFont="1" applyFill="1" applyBorder="1" applyAlignment="1">
      <alignment horizontal="center" vertical="center"/>
    </xf>
    <xf numFmtId="0" fontId="10" fillId="6" borderId="1" xfId="2" applyFont="1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 wrapText="1"/>
    </xf>
    <xf numFmtId="0" fontId="1" fillId="13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 wrapText="1"/>
    </xf>
    <xf numFmtId="0" fontId="0" fillId="6" borderId="0" xfId="0" applyFill="1" applyAlignment="1">
      <alignment horizontal="right"/>
    </xf>
    <xf numFmtId="22" fontId="1" fillId="13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Плохой" xfId="2" builtinId="27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72B4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3"/>
  <sheetViews>
    <sheetView tabSelected="1" topLeftCell="A37" zoomScale="85" zoomScaleNormal="85" workbookViewId="0">
      <selection activeCell="N63" sqref="N63"/>
    </sheetView>
  </sheetViews>
  <sheetFormatPr defaultRowHeight="15" x14ac:dyDescent="0.25"/>
  <cols>
    <col min="1" max="1" width="63.7109375" customWidth="1"/>
    <col min="2" max="2" width="17.85546875" bestFit="1" customWidth="1"/>
    <col min="3" max="3" width="3.42578125" bestFit="1" customWidth="1"/>
    <col min="4" max="4" width="13.5703125" bestFit="1" customWidth="1"/>
    <col min="5" max="5" width="28.7109375" bestFit="1" customWidth="1"/>
    <col min="6" max="6" width="22.85546875" bestFit="1" customWidth="1"/>
    <col min="7" max="7" width="20.28515625" bestFit="1" customWidth="1"/>
    <col min="8" max="8" width="84.42578125" bestFit="1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370</v>
      </c>
      <c r="F1" s="5" t="s">
        <v>4</v>
      </c>
      <c r="G1" s="3" t="s">
        <v>371</v>
      </c>
      <c r="H1" s="3" t="s">
        <v>5</v>
      </c>
      <c r="I1" s="27" t="s">
        <v>273</v>
      </c>
    </row>
    <row r="2" spans="1:9" x14ac:dyDescent="0.25">
      <c r="A2" s="6" t="s">
        <v>6</v>
      </c>
      <c r="B2" s="3" t="s">
        <v>7</v>
      </c>
      <c r="C2" s="3">
        <v>2</v>
      </c>
      <c r="D2" s="3">
        <v>0</v>
      </c>
      <c r="E2" s="3" t="s">
        <v>4</v>
      </c>
      <c r="F2" s="5">
        <v>30</v>
      </c>
      <c r="G2" s="3" t="s">
        <v>8</v>
      </c>
      <c r="H2" s="6" t="s">
        <v>9</v>
      </c>
      <c r="I2" s="27">
        <v>1</v>
      </c>
    </row>
    <row r="3" spans="1:9" x14ac:dyDescent="0.25">
      <c r="A3" s="6" t="s">
        <v>10</v>
      </c>
      <c r="B3" s="3" t="s">
        <v>11</v>
      </c>
      <c r="C3" s="3">
        <v>2</v>
      </c>
      <c r="D3" s="3">
        <v>0</v>
      </c>
      <c r="E3" s="3" t="s">
        <v>4</v>
      </c>
      <c r="F3" s="5" t="s">
        <v>265</v>
      </c>
      <c r="G3" s="3" t="s">
        <v>8</v>
      </c>
      <c r="H3" s="6" t="s">
        <v>9</v>
      </c>
      <c r="I3" s="27">
        <v>1</v>
      </c>
    </row>
    <row r="4" spans="1:9" x14ac:dyDescent="0.25">
      <c r="A4" s="6" t="s">
        <v>12</v>
      </c>
      <c r="B4" s="3" t="s">
        <v>13</v>
      </c>
      <c r="C4" s="3">
        <v>4</v>
      </c>
      <c r="D4" s="3">
        <v>0</v>
      </c>
      <c r="E4" s="3" t="s">
        <v>14</v>
      </c>
      <c r="F4" s="7">
        <v>1</v>
      </c>
      <c r="G4" s="3" t="s">
        <v>15</v>
      </c>
      <c r="H4" s="6" t="s">
        <v>16</v>
      </c>
      <c r="I4" s="27">
        <v>1</v>
      </c>
    </row>
    <row r="5" spans="1:9" x14ac:dyDescent="0.25">
      <c r="A5" s="6" t="s">
        <v>17</v>
      </c>
      <c r="B5" s="3" t="s">
        <v>18</v>
      </c>
      <c r="C5" s="3">
        <v>2</v>
      </c>
      <c r="D5" s="3">
        <v>0</v>
      </c>
      <c r="E5" s="3" t="s">
        <v>4</v>
      </c>
      <c r="F5" s="5">
        <v>1</v>
      </c>
      <c r="G5" s="3"/>
      <c r="H5" s="6" t="s">
        <v>19</v>
      </c>
      <c r="I5" s="27">
        <v>1</v>
      </c>
    </row>
    <row r="6" spans="1:9" x14ac:dyDescent="0.25">
      <c r="A6" s="6" t="s">
        <v>411</v>
      </c>
      <c r="B6" s="3" t="s">
        <v>29</v>
      </c>
      <c r="C6" s="3">
        <v>2</v>
      </c>
      <c r="D6" s="3">
        <v>0</v>
      </c>
      <c r="E6" s="3" t="s">
        <v>28</v>
      </c>
      <c r="F6" s="3"/>
      <c r="G6" s="3"/>
      <c r="H6" s="6"/>
      <c r="I6" s="27">
        <v>1</v>
      </c>
    </row>
    <row r="7" spans="1:9" x14ac:dyDescent="0.25">
      <c r="A7" s="6" t="s">
        <v>412</v>
      </c>
      <c r="B7" s="3" t="s">
        <v>30</v>
      </c>
      <c r="C7" s="3">
        <v>2</v>
      </c>
      <c r="D7" s="3">
        <v>0</v>
      </c>
      <c r="E7" s="3" t="s">
        <v>4</v>
      </c>
      <c r="F7" s="5"/>
      <c r="G7" s="3"/>
      <c r="H7" s="6"/>
      <c r="I7" s="27">
        <v>1</v>
      </c>
    </row>
    <row r="8" spans="1:9" x14ac:dyDescent="0.25">
      <c r="A8" s="6" t="s">
        <v>395</v>
      </c>
      <c r="B8" s="3" t="s">
        <v>31</v>
      </c>
      <c r="C8" s="3">
        <v>2</v>
      </c>
      <c r="D8" s="3">
        <v>0</v>
      </c>
      <c r="E8" s="3" t="s">
        <v>4</v>
      </c>
      <c r="F8" s="5"/>
      <c r="G8" s="3"/>
      <c r="H8" s="6"/>
      <c r="I8" s="27">
        <v>1</v>
      </c>
    </row>
    <row r="9" spans="1:9" x14ac:dyDescent="0.25">
      <c r="A9" s="6" t="s">
        <v>32</v>
      </c>
      <c r="B9" s="3" t="s">
        <v>33</v>
      </c>
      <c r="C9" s="3">
        <v>2</v>
      </c>
      <c r="D9" s="3">
        <v>0</v>
      </c>
      <c r="E9" s="3" t="s">
        <v>372</v>
      </c>
      <c r="F9" s="5" t="s">
        <v>34</v>
      </c>
      <c r="G9" s="3"/>
      <c r="H9" s="18" t="s">
        <v>35</v>
      </c>
      <c r="I9" s="27">
        <v>1</v>
      </c>
    </row>
    <row r="10" spans="1:9" x14ac:dyDescent="0.25">
      <c r="A10" s="6" t="s">
        <v>36</v>
      </c>
      <c r="B10" s="3" t="s">
        <v>37</v>
      </c>
      <c r="C10" s="3">
        <v>2</v>
      </c>
      <c r="D10" s="3">
        <v>0</v>
      </c>
      <c r="E10" s="3" t="s">
        <v>373</v>
      </c>
      <c r="F10" s="3">
        <v>6603</v>
      </c>
      <c r="G10" s="3"/>
      <c r="H10" s="6"/>
      <c r="I10" s="27">
        <v>1</v>
      </c>
    </row>
    <row r="11" spans="1:9" x14ac:dyDescent="0.25">
      <c r="A11" s="20" t="s">
        <v>413</v>
      </c>
      <c r="B11" s="21" t="s">
        <v>33</v>
      </c>
      <c r="C11" s="21">
        <v>6</v>
      </c>
      <c r="D11" s="21">
        <v>1</v>
      </c>
      <c r="E11" s="21" t="s">
        <v>38</v>
      </c>
      <c r="F11" s="25" t="s">
        <v>262</v>
      </c>
      <c r="G11" s="21"/>
      <c r="H11" s="24" t="s">
        <v>39</v>
      </c>
      <c r="I11" s="27">
        <v>1</v>
      </c>
    </row>
    <row r="12" spans="1:9" x14ac:dyDescent="0.25">
      <c r="A12" s="20" t="s">
        <v>414</v>
      </c>
      <c r="B12" s="21" t="s">
        <v>33</v>
      </c>
      <c r="C12" s="21">
        <v>6</v>
      </c>
      <c r="D12" s="21">
        <v>2</v>
      </c>
      <c r="E12" s="21" t="s">
        <v>38</v>
      </c>
      <c r="F12" s="25" t="s">
        <v>262</v>
      </c>
      <c r="G12" s="21"/>
      <c r="H12" s="24" t="s">
        <v>39</v>
      </c>
      <c r="I12" s="27">
        <v>1</v>
      </c>
    </row>
    <row r="13" spans="1:9" x14ac:dyDescent="0.25">
      <c r="A13" s="20" t="s">
        <v>415</v>
      </c>
      <c r="B13" s="21" t="s">
        <v>33</v>
      </c>
      <c r="C13" s="21">
        <v>6</v>
      </c>
      <c r="D13" s="21">
        <v>3</v>
      </c>
      <c r="E13" s="21" t="s">
        <v>38</v>
      </c>
      <c r="F13" s="21" t="s">
        <v>262</v>
      </c>
      <c r="G13" s="21"/>
      <c r="H13" s="24" t="s">
        <v>39</v>
      </c>
      <c r="I13" s="27">
        <v>1</v>
      </c>
    </row>
    <row r="14" spans="1:9" x14ac:dyDescent="0.25">
      <c r="A14" s="20" t="s">
        <v>416</v>
      </c>
      <c r="B14" s="21" t="s">
        <v>33</v>
      </c>
      <c r="C14" s="21">
        <v>6</v>
      </c>
      <c r="D14" s="21">
        <v>4</v>
      </c>
      <c r="E14" s="21" t="s">
        <v>38</v>
      </c>
      <c r="F14" s="25" t="s">
        <v>262</v>
      </c>
      <c r="G14" s="21"/>
      <c r="H14" s="24" t="s">
        <v>39</v>
      </c>
      <c r="I14" s="27">
        <v>1</v>
      </c>
    </row>
    <row r="15" spans="1:9" ht="112.5" customHeight="1" x14ac:dyDescent="0.25">
      <c r="A15" s="6" t="s">
        <v>59</v>
      </c>
      <c r="B15" s="9" t="s">
        <v>60</v>
      </c>
      <c r="C15" s="3">
        <v>2</v>
      </c>
      <c r="D15" s="3">
        <v>1</v>
      </c>
      <c r="E15" s="3" t="s">
        <v>4</v>
      </c>
      <c r="F15" s="5" t="s">
        <v>263</v>
      </c>
      <c r="G15" s="3"/>
      <c r="H15" s="18" t="s">
        <v>61</v>
      </c>
      <c r="I15" s="27">
        <v>1</v>
      </c>
    </row>
    <row r="16" spans="1:9" ht="127.5" customHeight="1" x14ac:dyDescent="0.25">
      <c r="A16" s="6" t="s">
        <v>62</v>
      </c>
      <c r="B16" s="9" t="s">
        <v>63</v>
      </c>
      <c r="C16" s="3">
        <v>2</v>
      </c>
      <c r="D16" s="3">
        <v>2</v>
      </c>
      <c r="E16" s="3" t="s">
        <v>4</v>
      </c>
      <c r="F16" s="5" t="s">
        <v>263</v>
      </c>
      <c r="G16" s="3"/>
      <c r="H16" s="18" t="s">
        <v>61</v>
      </c>
      <c r="I16" s="27">
        <v>1</v>
      </c>
    </row>
    <row r="17" spans="1:9" x14ac:dyDescent="0.25">
      <c r="A17" s="6" t="s">
        <v>64</v>
      </c>
      <c r="B17" s="3" t="s">
        <v>65</v>
      </c>
      <c r="C17" s="3">
        <v>2</v>
      </c>
      <c r="D17" s="3">
        <v>0</v>
      </c>
      <c r="E17" s="3" t="s">
        <v>4</v>
      </c>
      <c r="F17" s="3">
        <v>55200</v>
      </c>
      <c r="G17" s="3" t="s">
        <v>22</v>
      </c>
      <c r="H17" s="6" t="s">
        <v>66</v>
      </c>
      <c r="I17" s="27">
        <v>1</v>
      </c>
    </row>
    <row r="18" spans="1:9" x14ac:dyDescent="0.25">
      <c r="A18" s="6" t="s">
        <v>67</v>
      </c>
      <c r="B18" s="3" t="s">
        <v>68</v>
      </c>
      <c r="C18" s="3">
        <v>2</v>
      </c>
      <c r="D18" s="3">
        <v>0</v>
      </c>
      <c r="E18" s="3" t="s">
        <v>4</v>
      </c>
      <c r="F18" s="3">
        <v>55200</v>
      </c>
      <c r="G18" s="3" t="s">
        <v>22</v>
      </c>
      <c r="H18" s="6" t="s">
        <v>66</v>
      </c>
      <c r="I18" s="27">
        <v>1</v>
      </c>
    </row>
    <row r="19" spans="1:9" x14ac:dyDescent="0.25">
      <c r="A19" s="6" t="s">
        <v>69</v>
      </c>
      <c r="B19" s="3" t="s">
        <v>70</v>
      </c>
      <c r="C19" s="3">
        <v>2</v>
      </c>
      <c r="D19" s="3">
        <v>0</v>
      </c>
      <c r="E19" s="3" t="s">
        <v>4</v>
      </c>
      <c r="F19" s="8">
        <v>0.35</v>
      </c>
      <c r="G19" s="3"/>
      <c r="H19" s="6" t="s">
        <v>71</v>
      </c>
      <c r="I19" s="27">
        <v>1</v>
      </c>
    </row>
    <row r="20" spans="1:9" x14ac:dyDescent="0.25">
      <c r="A20" s="6" t="s">
        <v>72</v>
      </c>
      <c r="B20" s="3" t="s">
        <v>73</v>
      </c>
      <c r="C20" s="3">
        <v>2</v>
      </c>
      <c r="D20" s="3">
        <v>0</v>
      </c>
      <c r="E20" s="3" t="s">
        <v>4</v>
      </c>
      <c r="F20" s="5" t="s">
        <v>266</v>
      </c>
      <c r="G20" s="3" t="s">
        <v>23</v>
      </c>
      <c r="H20" s="6" t="s">
        <v>58</v>
      </c>
      <c r="I20" s="27">
        <v>1</v>
      </c>
    </row>
    <row r="21" spans="1:9" x14ac:dyDescent="0.25">
      <c r="A21" s="6" t="s">
        <v>74</v>
      </c>
      <c r="B21" s="3" t="s">
        <v>75</v>
      </c>
      <c r="C21" s="3">
        <v>2</v>
      </c>
      <c r="D21" s="3">
        <v>0</v>
      </c>
      <c r="E21" s="3" t="s">
        <v>4</v>
      </c>
      <c r="F21" s="5" t="s">
        <v>267</v>
      </c>
      <c r="G21" s="3" t="s">
        <v>24</v>
      </c>
      <c r="H21" s="6" t="s">
        <v>76</v>
      </c>
      <c r="I21" s="27">
        <v>1</v>
      </c>
    </row>
    <row r="22" spans="1:9" x14ac:dyDescent="0.25">
      <c r="A22" s="6" t="s">
        <v>77</v>
      </c>
      <c r="B22" s="3" t="s">
        <v>78</v>
      </c>
      <c r="C22" s="3">
        <v>2</v>
      </c>
      <c r="D22" s="3">
        <v>0</v>
      </c>
      <c r="E22" s="3" t="s">
        <v>4</v>
      </c>
      <c r="F22" s="5">
        <v>10</v>
      </c>
      <c r="G22" s="3" t="s">
        <v>26</v>
      </c>
      <c r="H22" s="6" t="s">
        <v>79</v>
      </c>
      <c r="I22" s="27">
        <v>1</v>
      </c>
    </row>
    <row r="23" spans="1:9" x14ac:dyDescent="0.25">
      <c r="A23" s="6" t="s">
        <v>80</v>
      </c>
      <c r="B23" s="3" t="s">
        <v>81</v>
      </c>
      <c r="C23" s="3">
        <v>2</v>
      </c>
      <c r="D23" s="3">
        <v>0</v>
      </c>
      <c r="E23" s="3" t="s">
        <v>4</v>
      </c>
      <c r="F23" s="5">
        <v>10</v>
      </c>
      <c r="G23" s="3" t="s">
        <v>26</v>
      </c>
      <c r="H23" s="6" t="s">
        <v>79</v>
      </c>
      <c r="I23" s="27">
        <v>1</v>
      </c>
    </row>
    <row r="24" spans="1:9" x14ac:dyDescent="0.25">
      <c r="A24" s="6" t="s">
        <v>82</v>
      </c>
      <c r="B24" s="3" t="s">
        <v>83</v>
      </c>
      <c r="C24" s="3">
        <v>2</v>
      </c>
      <c r="D24" s="3">
        <v>0</v>
      </c>
      <c r="E24" s="3" t="s">
        <v>4</v>
      </c>
      <c r="F24" s="5">
        <v>95</v>
      </c>
      <c r="G24" s="3" t="s">
        <v>26</v>
      </c>
      <c r="H24" s="6" t="s">
        <v>84</v>
      </c>
      <c r="I24" s="27">
        <v>1</v>
      </c>
    </row>
    <row r="25" spans="1:9" x14ac:dyDescent="0.25">
      <c r="A25" s="6" t="s">
        <v>85</v>
      </c>
      <c r="B25" s="3" t="s">
        <v>86</v>
      </c>
      <c r="C25" s="3">
        <v>2</v>
      </c>
      <c r="D25" s="3">
        <v>0</v>
      </c>
      <c r="E25" s="3" t="s">
        <v>4</v>
      </c>
      <c r="F25" s="5" t="s">
        <v>261</v>
      </c>
      <c r="G25" s="3" t="s">
        <v>87</v>
      </c>
      <c r="H25" s="6" t="s">
        <v>359</v>
      </c>
      <c r="I25" s="27">
        <v>1</v>
      </c>
    </row>
    <row r="26" spans="1:9" ht="53.25" customHeight="1" x14ac:dyDescent="0.25">
      <c r="A26" s="6" t="s">
        <v>427</v>
      </c>
      <c r="B26" s="3" t="s">
        <v>89</v>
      </c>
      <c r="C26" s="3">
        <v>2</v>
      </c>
      <c r="D26" s="3">
        <v>0</v>
      </c>
      <c r="E26" s="3" t="s">
        <v>4</v>
      </c>
      <c r="F26" s="5" t="s">
        <v>274</v>
      </c>
      <c r="G26" s="3"/>
      <c r="H26" s="63" t="s">
        <v>90</v>
      </c>
      <c r="I26" s="27">
        <v>1</v>
      </c>
    </row>
    <row r="27" spans="1:9" ht="54" customHeight="1" x14ac:dyDescent="0.25">
      <c r="A27" s="6" t="s">
        <v>428</v>
      </c>
      <c r="B27" s="3" t="s">
        <v>91</v>
      </c>
      <c r="C27" s="3">
        <v>2</v>
      </c>
      <c r="D27" s="3">
        <v>0</v>
      </c>
      <c r="E27" s="3" t="s">
        <v>4</v>
      </c>
      <c r="F27" s="5" t="s">
        <v>360</v>
      </c>
      <c r="G27" s="3"/>
      <c r="H27" s="63"/>
      <c r="I27" s="27">
        <v>1</v>
      </c>
    </row>
    <row r="28" spans="1:9" x14ac:dyDescent="0.25">
      <c r="A28" s="6" t="s">
        <v>92</v>
      </c>
      <c r="B28" s="3" t="s">
        <v>93</v>
      </c>
      <c r="C28" s="3">
        <v>2</v>
      </c>
      <c r="D28" s="3">
        <v>0</v>
      </c>
      <c r="E28" s="3" t="s">
        <v>4</v>
      </c>
      <c r="F28" s="5">
        <v>1000</v>
      </c>
      <c r="G28" s="3" t="s">
        <v>94</v>
      </c>
      <c r="H28" s="6" t="s">
        <v>361</v>
      </c>
      <c r="I28" s="27">
        <v>1</v>
      </c>
    </row>
    <row r="29" spans="1:9" x14ac:dyDescent="0.25">
      <c r="A29" s="6" t="s">
        <v>95</v>
      </c>
      <c r="B29" s="3" t="s">
        <v>96</v>
      </c>
      <c r="C29" s="3">
        <v>2</v>
      </c>
      <c r="D29" s="3">
        <v>0</v>
      </c>
      <c r="E29" s="3" t="s">
        <v>4</v>
      </c>
      <c r="F29" s="5">
        <v>1000</v>
      </c>
      <c r="G29" s="3" t="s">
        <v>94</v>
      </c>
      <c r="H29" s="6" t="s">
        <v>361</v>
      </c>
      <c r="I29" s="27">
        <v>1</v>
      </c>
    </row>
    <row r="30" spans="1:9" ht="162" customHeight="1" x14ac:dyDescent="0.25">
      <c r="A30" s="6" t="s">
        <v>97</v>
      </c>
      <c r="B30" s="3" t="s">
        <v>98</v>
      </c>
      <c r="C30" s="3">
        <v>2</v>
      </c>
      <c r="D30" s="3">
        <v>0</v>
      </c>
      <c r="E30" s="3" t="s">
        <v>4</v>
      </c>
      <c r="F30" s="5">
        <v>2</v>
      </c>
      <c r="G30" s="3"/>
      <c r="H30" s="19" t="s">
        <v>99</v>
      </c>
      <c r="I30" s="27">
        <v>1</v>
      </c>
    </row>
    <row r="31" spans="1:9" x14ac:dyDescent="0.25">
      <c r="A31" s="6" t="s">
        <v>100</v>
      </c>
      <c r="B31" s="3" t="s">
        <v>101</v>
      </c>
      <c r="C31" s="3">
        <v>4</v>
      </c>
      <c r="D31" s="3">
        <v>0</v>
      </c>
      <c r="E31" s="3" t="s">
        <v>102</v>
      </c>
      <c r="F31" s="5">
        <v>10</v>
      </c>
      <c r="G31" s="3" t="s">
        <v>23</v>
      </c>
      <c r="H31" s="6" t="s">
        <v>103</v>
      </c>
      <c r="I31" s="27">
        <v>1</v>
      </c>
    </row>
    <row r="32" spans="1:9" x14ac:dyDescent="0.25">
      <c r="A32" s="6" t="s">
        <v>104</v>
      </c>
      <c r="B32" s="3" t="s">
        <v>105</v>
      </c>
      <c r="C32" s="3">
        <v>2</v>
      </c>
      <c r="D32" s="3">
        <v>0</v>
      </c>
      <c r="E32" s="3" t="s">
        <v>374</v>
      </c>
      <c r="F32" s="5">
        <v>9600</v>
      </c>
      <c r="G32" s="3"/>
      <c r="H32" s="6" t="s">
        <v>362</v>
      </c>
      <c r="I32" s="27">
        <v>1</v>
      </c>
    </row>
    <row r="33" spans="1:9" x14ac:dyDescent="0.25">
      <c r="A33" s="6" t="s">
        <v>106</v>
      </c>
      <c r="B33" s="3" t="s">
        <v>107</v>
      </c>
      <c r="C33" s="3">
        <v>2</v>
      </c>
      <c r="D33" s="3">
        <v>0</v>
      </c>
      <c r="E33" s="3" t="s">
        <v>374</v>
      </c>
      <c r="F33" s="5">
        <v>9600</v>
      </c>
      <c r="G33" s="3"/>
      <c r="H33" s="6" t="s">
        <v>108</v>
      </c>
      <c r="I33" s="27">
        <v>1</v>
      </c>
    </row>
    <row r="34" spans="1:9" x14ac:dyDescent="0.25">
      <c r="A34" s="6" t="s">
        <v>246</v>
      </c>
      <c r="B34" s="3" t="s">
        <v>244</v>
      </c>
      <c r="C34" s="3">
        <v>3</v>
      </c>
      <c r="D34" s="3">
        <v>0</v>
      </c>
      <c r="E34" s="3" t="s">
        <v>248</v>
      </c>
      <c r="F34" s="3">
        <v>-180</v>
      </c>
      <c r="G34" s="3" t="s">
        <v>245</v>
      </c>
      <c r="H34" s="6" t="s">
        <v>247</v>
      </c>
      <c r="I34" s="27">
        <v>1</v>
      </c>
    </row>
    <row r="35" spans="1:9" x14ac:dyDescent="0.25">
      <c r="A35" s="6" t="s">
        <v>363</v>
      </c>
      <c r="B35" s="3" t="s">
        <v>364</v>
      </c>
      <c r="C35" s="3">
        <v>2</v>
      </c>
      <c r="D35" s="3">
        <v>0</v>
      </c>
      <c r="E35" s="3" t="s">
        <v>4</v>
      </c>
      <c r="F35" s="3">
        <v>5</v>
      </c>
      <c r="G35" s="3" t="s">
        <v>23</v>
      </c>
      <c r="H35" s="6" t="s">
        <v>365</v>
      </c>
      <c r="I35" s="27">
        <v>1</v>
      </c>
    </row>
    <row r="36" spans="1:9" x14ac:dyDescent="0.25">
      <c r="A36" s="6" t="s">
        <v>366</v>
      </c>
      <c r="B36" s="3" t="s">
        <v>367</v>
      </c>
      <c r="C36" s="3">
        <v>2</v>
      </c>
      <c r="D36" s="3">
        <v>0</v>
      </c>
      <c r="E36" s="3" t="s">
        <v>4</v>
      </c>
      <c r="F36" s="3">
        <v>2</v>
      </c>
      <c r="G36" s="3" t="s">
        <v>26</v>
      </c>
      <c r="H36" s="6" t="s">
        <v>368</v>
      </c>
      <c r="I36" s="27">
        <v>1</v>
      </c>
    </row>
    <row r="37" spans="1:9" x14ac:dyDescent="0.25">
      <c r="A37" s="6" t="s">
        <v>430</v>
      </c>
      <c r="B37" s="3" t="s">
        <v>369</v>
      </c>
      <c r="C37" s="3">
        <v>2</v>
      </c>
      <c r="D37" s="3">
        <v>0</v>
      </c>
      <c r="E37" s="3" t="s">
        <v>4</v>
      </c>
      <c r="F37" s="3">
        <v>0</v>
      </c>
      <c r="G37" s="3"/>
      <c r="H37" s="6" t="s">
        <v>429</v>
      </c>
      <c r="I37" s="27">
        <v>1</v>
      </c>
    </row>
    <row r="38" spans="1:9" x14ac:dyDescent="0.25">
      <c r="A38" s="28" t="s">
        <v>275</v>
      </c>
      <c r="B38" s="29" t="s">
        <v>276</v>
      </c>
      <c r="C38" s="29">
        <v>2</v>
      </c>
      <c r="D38" s="29">
        <v>0</v>
      </c>
      <c r="E38" s="3" t="s">
        <v>4</v>
      </c>
      <c r="F38" s="30" t="s">
        <v>278</v>
      </c>
      <c r="G38" s="29"/>
      <c r="H38" s="28" t="s">
        <v>277</v>
      </c>
      <c r="I38" s="27">
        <v>1</v>
      </c>
    </row>
    <row r="39" spans="1:9" x14ac:dyDescent="0.25">
      <c r="A39" s="43" t="s">
        <v>375</v>
      </c>
      <c r="B39" s="44" t="s">
        <v>376</v>
      </c>
      <c r="C39" s="44">
        <v>5</v>
      </c>
      <c r="D39" s="45">
        <v>0</v>
      </c>
      <c r="E39" s="46" t="s">
        <v>377</v>
      </c>
      <c r="F39" s="44">
        <v>710</v>
      </c>
      <c r="G39" s="44"/>
      <c r="H39" s="43" t="s">
        <v>378</v>
      </c>
      <c r="I39" s="27">
        <v>1</v>
      </c>
    </row>
    <row r="40" spans="1:9" ht="28.5" x14ac:dyDescent="0.25">
      <c r="A40" s="47" t="s">
        <v>379</v>
      </c>
      <c r="B40" s="44" t="s">
        <v>376</v>
      </c>
      <c r="C40" s="44">
        <v>6</v>
      </c>
      <c r="D40" s="45">
        <v>0</v>
      </c>
      <c r="E40" s="46" t="s">
        <v>380</v>
      </c>
      <c r="F40" s="44">
        <v>710</v>
      </c>
      <c r="G40" s="44"/>
      <c r="H40" s="43" t="s">
        <v>378</v>
      </c>
      <c r="I40" s="27">
        <v>1</v>
      </c>
    </row>
    <row r="41" spans="1:9" x14ac:dyDescent="0.25">
      <c r="A41" s="43" t="s">
        <v>381</v>
      </c>
      <c r="B41" s="44" t="s">
        <v>376</v>
      </c>
      <c r="C41" s="44">
        <v>2</v>
      </c>
      <c r="D41" s="45">
        <v>0</v>
      </c>
      <c r="E41" s="48" t="s">
        <v>374</v>
      </c>
      <c r="F41" s="44">
        <v>57600</v>
      </c>
      <c r="G41" s="44"/>
      <c r="H41" s="43" t="s">
        <v>417</v>
      </c>
      <c r="I41" s="27">
        <v>1</v>
      </c>
    </row>
    <row r="42" spans="1:9" x14ac:dyDescent="0.25">
      <c r="A42" s="49" t="s">
        <v>418</v>
      </c>
      <c r="B42" s="45" t="s">
        <v>382</v>
      </c>
      <c r="C42" s="45">
        <v>2</v>
      </c>
      <c r="D42" s="45">
        <v>0</v>
      </c>
      <c r="E42" s="45" t="s">
        <v>28</v>
      </c>
      <c r="F42" s="45"/>
      <c r="G42" s="45"/>
      <c r="H42" s="49"/>
      <c r="I42" s="27">
        <v>1</v>
      </c>
    </row>
    <row r="43" spans="1:9" x14ac:dyDescent="0.25">
      <c r="A43" s="49" t="s">
        <v>419</v>
      </c>
      <c r="B43" s="45" t="s">
        <v>383</v>
      </c>
      <c r="C43" s="45">
        <v>2</v>
      </c>
      <c r="D43" s="45">
        <v>0</v>
      </c>
      <c r="E43" s="45" t="s">
        <v>28</v>
      </c>
      <c r="F43" s="45"/>
      <c r="G43" s="45"/>
      <c r="H43" s="49"/>
      <c r="I43" s="27">
        <v>1</v>
      </c>
    </row>
    <row r="44" spans="1:9" x14ac:dyDescent="0.25">
      <c r="A44" s="49" t="s">
        <v>420</v>
      </c>
      <c r="B44" s="45" t="s">
        <v>384</v>
      </c>
      <c r="C44" s="45">
        <v>2</v>
      </c>
      <c r="D44" s="45">
        <v>0</v>
      </c>
      <c r="E44" s="45" t="s">
        <v>28</v>
      </c>
      <c r="F44" s="45"/>
      <c r="G44" s="45"/>
      <c r="H44" s="49"/>
      <c r="I44" s="27">
        <v>1</v>
      </c>
    </row>
    <row r="45" spans="1:9" x14ac:dyDescent="0.25">
      <c r="A45" s="49" t="s">
        <v>421</v>
      </c>
      <c r="B45" s="45" t="s">
        <v>385</v>
      </c>
      <c r="C45" s="45">
        <v>2</v>
      </c>
      <c r="D45" s="45">
        <v>0</v>
      </c>
      <c r="E45" s="45" t="s">
        <v>28</v>
      </c>
      <c r="F45" s="45"/>
      <c r="G45" s="45"/>
      <c r="H45" s="49"/>
      <c r="I45" s="27">
        <v>1</v>
      </c>
    </row>
    <row r="46" spans="1:9" x14ac:dyDescent="0.25">
      <c r="A46" s="49" t="s">
        <v>422</v>
      </c>
      <c r="B46" s="45" t="s">
        <v>386</v>
      </c>
      <c r="C46" s="45">
        <v>2</v>
      </c>
      <c r="D46" s="45">
        <v>0</v>
      </c>
      <c r="E46" s="45" t="s">
        <v>28</v>
      </c>
      <c r="F46" s="45"/>
      <c r="G46" s="45"/>
      <c r="H46" s="49"/>
      <c r="I46" s="27">
        <v>1</v>
      </c>
    </row>
    <row r="47" spans="1:9" x14ac:dyDescent="0.25">
      <c r="A47" s="43" t="s">
        <v>423</v>
      </c>
      <c r="B47" s="51" t="s">
        <v>410</v>
      </c>
      <c r="C47" s="44">
        <v>2</v>
      </c>
      <c r="D47" s="44">
        <v>0</v>
      </c>
      <c r="E47" s="40" t="s">
        <v>4</v>
      </c>
      <c r="F47" s="44"/>
      <c r="G47" s="44"/>
      <c r="H47" s="43" t="s">
        <v>387</v>
      </c>
      <c r="I47" s="27">
        <v>1</v>
      </c>
    </row>
    <row r="48" spans="1:9" x14ac:dyDescent="0.25">
      <c r="A48" s="43" t="s">
        <v>389</v>
      </c>
      <c r="B48" s="51" t="s">
        <v>388</v>
      </c>
      <c r="C48" s="44">
        <v>2</v>
      </c>
      <c r="D48" s="44">
        <v>0</v>
      </c>
      <c r="E48" s="40" t="s">
        <v>4</v>
      </c>
      <c r="F48" s="44"/>
      <c r="G48" s="44"/>
      <c r="H48" s="43" t="s">
        <v>387</v>
      </c>
      <c r="I48" s="27">
        <v>1</v>
      </c>
    </row>
    <row r="49" spans="1:9" x14ac:dyDescent="0.25">
      <c r="A49" s="43" t="s">
        <v>391</v>
      </c>
      <c r="B49" s="51" t="s">
        <v>390</v>
      </c>
      <c r="C49" s="44">
        <v>2</v>
      </c>
      <c r="D49" s="44">
        <v>0</v>
      </c>
      <c r="E49" s="40" t="s">
        <v>4</v>
      </c>
      <c r="F49" s="44"/>
      <c r="G49" s="44"/>
      <c r="H49" s="43" t="s">
        <v>387</v>
      </c>
      <c r="I49" s="27">
        <v>1</v>
      </c>
    </row>
    <row r="50" spans="1:9" x14ac:dyDescent="0.25">
      <c r="A50" s="43" t="s">
        <v>393</v>
      </c>
      <c r="B50" s="51" t="s">
        <v>392</v>
      </c>
      <c r="C50" s="44">
        <v>2</v>
      </c>
      <c r="D50" s="44">
        <v>0</v>
      </c>
      <c r="E50" s="40" t="s">
        <v>4</v>
      </c>
      <c r="F50" s="44"/>
      <c r="G50" s="44"/>
      <c r="H50" s="43" t="s">
        <v>387</v>
      </c>
      <c r="I50" s="27">
        <v>1</v>
      </c>
    </row>
    <row r="51" spans="1:9" x14ac:dyDescent="0.25">
      <c r="A51" s="43" t="s">
        <v>424</v>
      </c>
      <c r="B51" s="51" t="s">
        <v>394</v>
      </c>
      <c r="C51" s="44">
        <v>2</v>
      </c>
      <c r="D51" s="44">
        <v>0</v>
      </c>
      <c r="E51" s="40" t="s">
        <v>4</v>
      </c>
      <c r="F51" s="44"/>
      <c r="G51" s="44"/>
      <c r="H51" s="43" t="s">
        <v>387</v>
      </c>
      <c r="I51" s="27">
        <v>1</v>
      </c>
    </row>
    <row r="52" spans="1:9" x14ac:dyDescent="0.25">
      <c r="A52" s="43" t="s">
        <v>397</v>
      </c>
      <c r="B52" s="51" t="s">
        <v>396</v>
      </c>
      <c r="C52" s="44">
        <v>2</v>
      </c>
      <c r="D52" s="44">
        <v>0</v>
      </c>
      <c r="E52" s="40" t="s">
        <v>4</v>
      </c>
      <c r="F52" s="44"/>
      <c r="G52" s="44"/>
      <c r="H52" s="43" t="s">
        <v>387</v>
      </c>
      <c r="I52" s="27">
        <v>1</v>
      </c>
    </row>
    <row r="53" spans="1:9" x14ac:dyDescent="0.25">
      <c r="A53" s="43" t="s">
        <v>399</v>
      </c>
      <c r="B53" s="51" t="s">
        <v>398</v>
      </c>
      <c r="C53" s="44">
        <v>2</v>
      </c>
      <c r="D53" s="44">
        <v>0</v>
      </c>
      <c r="E53" s="40" t="s">
        <v>4</v>
      </c>
      <c r="F53" s="44"/>
      <c r="G53" s="44"/>
      <c r="H53" s="43" t="s">
        <v>387</v>
      </c>
      <c r="I53" s="27">
        <v>1</v>
      </c>
    </row>
    <row r="54" spans="1:9" x14ac:dyDescent="0.25">
      <c r="A54" s="43" t="s">
        <v>401</v>
      </c>
      <c r="B54" s="51" t="s">
        <v>400</v>
      </c>
      <c r="C54" s="44">
        <v>2</v>
      </c>
      <c r="D54" s="44">
        <v>0</v>
      </c>
      <c r="E54" s="40" t="s">
        <v>4</v>
      </c>
      <c r="F54" s="44"/>
      <c r="G54" s="44"/>
      <c r="H54" s="43" t="s">
        <v>387</v>
      </c>
      <c r="I54" s="27">
        <v>1</v>
      </c>
    </row>
    <row r="55" spans="1:9" x14ac:dyDescent="0.25">
      <c r="A55" s="43" t="s">
        <v>403</v>
      </c>
      <c r="B55" s="51" t="s">
        <v>402</v>
      </c>
      <c r="C55" s="44">
        <v>2</v>
      </c>
      <c r="D55" s="44">
        <v>0</v>
      </c>
      <c r="E55" s="40" t="s">
        <v>4</v>
      </c>
      <c r="F55" s="44"/>
      <c r="G55" s="44"/>
      <c r="H55" s="43" t="s">
        <v>387</v>
      </c>
      <c r="I55" s="27">
        <v>1</v>
      </c>
    </row>
    <row r="56" spans="1:9" x14ac:dyDescent="0.25">
      <c r="A56" s="43" t="s">
        <v>425</v>
      </c>
      <c r="B56" s="51" t="s">
        <v>404</v>
      </c>
      <c r="C56" s="44">
        <v>2</v>
      </c>
      <c r="D56" s="44">
        <v>0</v>
      </c>
      <c r="E56" s="40" t="s">
        <v>4</v>
      </c>
      <c r="F56" s="44"/>
      <c r="G56" s="44"/>
      <c r="H56" s="43" t="s">
        <v>387</v>
      </c>
      <c r="I56" s="27">
        <v>1</v>
      </c>
    </row>
    <row r="57" spans="1:9" x14ac:dyDescent="0.25">
      <c r="A57" s="43" t="s">
        <v>405</v>
      </c>
      <c r="B57" s="44" t="s">
        <v>406</v>
      </c>
      <c r="C57" s="44">
        <v>2</v>
      </c>
      <c r="D57" s="44">
        <v>0</v>
      </c>
      <c r="E57" s="40" t="s">
        <v>4</v>
      </c>
      <c r="F57" s="44">
        <v>124</v>
      </c>
      <c r="G57" s="44"/>
      <c r="H57" s="39" t="s">
        <v>407</v>
      </c>
      <c r="I57" s="27">
        <v>1</v>
      </c>
    </row>
    <row r="58" spans="1:9" x14ac:dyDescent="0.25">
      <c r="A58" s="43" t="s">
        <v>408</v>
      </c>
      <c r="B58" s="44" t="s">
        <v>409</v>
      </c>
      <c r="C58" s="44">
        <v>2</v>
      </c>
      <c r="D58" s="44">
        <v>0</v>
      </c>
      <c r="E58" s="40" t="s">
        <v>4</v>
      </c>
      <c r="F58" s="44">
        <v>0</v>
      </c>
      <c r="G58" s="44"/>
      <c r="H58" s="39" t="s">
        <v>426</v>
      </c>
      <c r="I58" s="27">
        <v>1</v>
      </c>
    </row>
    <row r="59" spans="1:9" x14ac:dyDescent="0.25">
      <c r="A59" s="52" t="s">
        <v>431</v>
      </c>
      <c r="B59" s="53" t="s">
        <v>432</v>
      </c>
      <c r="C59" s="53">
        <v>2</v>
      </c>
      <c r="D59" s="53">
        <v>0</v>
      </c>
      <c r="E59" s="54" t="s">
        <v>4</v>
      </c>
      <c r="F59" s="53">
        <v>0</v>
      </c>
      <c r="G59" s="53"/>
      <c r="H59" s="55" t="s">
        <v>433</v>
      </c>
      <c r="I59" s="27">
        <v>1</v>
      </c>
    </row>
    <row r="60" spans="1:9" x14ac:dyDescent="0.25">
      <c r="A60" s="43" t="s">
        <v>465</v>
      </c>
      <c r="B60" s="44" t="s">
        <v>466</v>
      </c>
      <c r="C60" s="44">
        <v>2</v>
      </c>
      <c r="D60" s="44">
        <v>0</v>
      </c>
      <c r="E60" s="40" t="s">
        <v>4</v>
      </c>
      <c r="F60" s="44" t="s">
        <v>478</v>
      </c>
      <c r="G60" s="44"/>
      <c r="H60" s="43" t="s">
        <v>467</v>
      </c>
      <c r="I60" s="27">
        <v>1</v>
      </c>
    </row>
    <row r="61" spans="1:9" x14ac:dyDescent="0.25">
      <c r="A61" s="43" t="s">
        <v>468</v>
      </c>
      <c r="B61" s="44" t="s">
        <v>469</v>
      </c>
      <c r="C61" s="44">
        <v>2</v>
      </c>
      <c r="D61" s="44">
        <v>0</v>
      </c>
      <c r="E61" s="40" t="s">
        <v>4</v>
      </c>
      <c r="F61" s="44" t="s">
        <v>479</v>
      </c>
      <c r="G61" s="44"/>
      <c r="H61" s="43" t="s">
        <v>470</v>
      </c>
      <c r="I61" s="27">
        <v>1</v>
      </c>
    </row>
    <row r="62" spans="1:9" x14ac:dyDescent="0.25">
      <c r="A62" s="43" t="s">
        <v>471</v>
      </c>
      <c r="B62" s="44" t="s">
        <v>472</v>
      </c>
      <c r="C62" s="44">
        <v>2</v>
      </c>
      <c r="D62" s="44">
        <v>0</v>
      </c>
      <c r="E62" s="40" t="s">
        <v>4</v>
      </c>
      <c r="F62" s="44" t="s">
        <v>480</v>
      </c>
      <c r="G62" s="43"/>
      <c r="H62" s="43" t="s">
        <v>470</v>
      </c>
      <c r="I62" s="27">
        <v>1</v>
      </c>
    </row>
    <row r="63" spans="1:9" x14ac:dyDescent="0.25">
      <c r="A63" s="43" t="s">
        <v>473</v>
      </c>
      <c r="B63" s="44" t="s">
        <v>474</v>
      </c>
      <c r="C63" s="44">
        <v>2</v>
      </c>
      <c r="D63" s="44">
        <v>0</v>
      </c>
      <c r="E63" s="40" t="s">
        <v>4</v>
      </c>
      <c r="F63" s="44" t="s">
        <v>481</v>
      </c>
      <c r="G63" s="43"/>
      <c r="H63" s="43" t="s">
        <v>475</v>
      </c>
      <c r="I63" s="27">
        <v>1</v>
      </c>
    </row>
    <row r="64" spans="1:9" ht="38.25" customHeight="1" x14ac:dyDescent="0.25">
      <c r="A64" s="43" t="s">
        <v>476</v>
      </c>
      <c r="B64" s="44" t="s">
        <v>477</v>
      </c>
      <c r="C64" s="44">
        <v>2</v>
      </c>
      <c r="D64" s="44">
        <v>0</v>
      </c>
      <c r="E64" s="40" t="s">
        <v>4</v>
      </c>
      <c r="F64" s="62" t="s">
        <v>484</v>
      </c>
      <c r="G64" s="44"/>
      <c r="H64" s="44"/>
      <c r="I64" s="27">
        <v>1</v>
      </c>
    </row>
    <row r="65" spans="1:9" ht="38.25" customHeight="1" x14ac:dyDescent="0.25">
      <c r="A65" s="43" t="s">
        <v>485</v>
      </c>
      <c r="B65" s="44" t="s">
        <v>486</v>
      </c>
      <c r="C65" s="44">
        <v>2</v>
      </c>
      <c r="D65" s="44">
        <v>0</v>
      </c>
      <c r="E65" s="40" t="s">
        <v>4</v>
      </c>
      <c r="F65" s="62" t="s">
        <v>487</v>
      </c>
      <c r="G65" s="44"/>
      <c r="H65" s="44"/>
      <c r="I65" s="27">
        <v>1</v>
      </c>
    </row>
    <row r="66" spans="1:9" x14ac:dyDescent="0.25">
      <c r="A66" s="56" t="s">
        <v>446</v>
      </c>
      <c r="B66" s="57" t="s">
        <v>435</v>
      </c>
      <c r="C66" s="57">
        <v>3</v>
      </c>
      <c r="D66" s="57">
        <v>0</v>
      </c>
      <c r="E66" s="58" t="s">
        <v>447</v>
      </c>
      <c r="F66" s="57">
        <v>1</v>
      </c>
      <c r="G66" s="57"/>
      <c r="H66" s="59" t="s">
        <v>448</v>
      </c>
      <c r="I66" s="27">
        <v>1</v>
      </c>
    </row>
    <row r="67" spans="1:9" x14ac:dyDescent="0.25">
      <c r="A67" s="56" t="s">
        <v>449</v>
      </c>
      <c r="B67" s="57" t="s">
        <v>438</v>
      </c>
      <c r="C67" s="57">
        <v>3</v>
      </c>
      <c r="D67" s="57">
        <v>0</v>
      </c>
      <c r="E67" s="58" t="s">
        <v>447</v>
      </c>
      <c r="F67" s="57">
        <v>1</v>
      </c>
      <c r="G67" s="57"/>
      <c r="H67" s="59" t="s">
        <v>448</v>
      </c>
      <c r="I67" s="27">
        <v>1</v>
      </c>
    </row>
    <row r="68" spans="1:9" x14ac:dyDescent="0.25">
      <c r="A68" s="56" t="s">
        <v>434</v>
      </c>
      <c r="B68" s="57" t="s">
        <v>435</v>
      </c>
      <c r="C68" s="57">
        <v>4</v>
      </c>
      <c r="D68" s="57">
        <v>1</v>
      </c>
      <c r="E68" s="58" t="s">
        <v>14</v>
      </c>
      <c r="F68" s="61" t="s">
        <v>450</v>
      </c>
      <c r="G68" s="57"/>
      <c r="H68" s="59" t="s">
        <v>436</v>
      </c>
      <c r="I68" s="27">
        <v>1</v>
      </c>
    </row>
    <row r="69" spans="1:9" x14ac:dyDescent="0.25">
      <c r="A69" s="56" t="s">
        <v>451</v>
      </c>
      <c r="B69" s="57" t="s">
        <v>435</v>
      </c>
      <c r="C69" s="57">
        <v>4</v>
      </c>
      <c r="D69" s="57">
        <v>2</v>
      </c>
      <c r="E69" s="58" t="s">
        <v>14</v>
      </c>
      <c r="F69" s="61"/>
      <c r="G69" s="57"/>
      <c r="H69" s="59" t="s">
        <v>436</v>
      </c>
      <c r="I69" s="27">
        <v>0</v>
      </c>
    </row>
    <row r="70" spans="1:9" x14ac:dyDescent="0.25">
      <c r="A70" s="56" t="s">
        <v>452</v>
      </c>
      <c r="B70" s="57" t="s">
        <v>435</v>
      </c>
      <c r="C70" s="57">
        <v>4</v>
      </c>
      <c r="D70" s="57">
        <v>3</v>
      </c>
      <c r="E70" s="58" t="s">
        <v>14</v>
      </c>
      <c r="F70" s="61"/>
      <c r="G70" s="57"/>
      <c r="H70" s="59" t="s">
        <v>436</v>
      </c>
      <c r="I70" s="27">
        <v>0</v>
      </c>
    </row>
    <row r="71" spans="1:9" x14ac:dyDescent="0.25">
      <c r="A71" s="56" t="s">
        <v>453</v>
      </c>
      <c r="B71" s="57" t="s">
        <v>435</v>
      </c>
      <c r="C71" s="57">
        <v>4</v>
      </c>
      <c r="D71" s="57">
        <v>4</v>
      </c>
      <c r="E71" s="58" t="s">
        <v>14</v>
      </c>
      <c r="F71" s="61"/>
      <c r="G71" s="57"/>
      <c r="H71" s="59" t="s">
        <v>436</v>
      </c>
      <c r="I71" s="27">
        <v>0</v>
      </c>
    </row>
    <row r="72" spans="1:9" x14ac:dyDescent="0.25">
      <c r="A72" s="56" t="s">
        <v>454</v>
      </c>
      <c r="B72" s="57" t="s">
        <v>435</v>
      </c>
      <c r="C72" s="57">
        <v>4</v>
      </c>
      <c r="D72" s="57">
        <v>5</v>
      </c>
      <c r="E72" s="58" t="s">
        <v>14</v>
      </c>
      <c r="F72" s="61"/>
      <c r="G72" s="57"/>
      <c r="H72" s="59" t="s">
        <v>436</v>
      </c>
      <c r="I72" s="27">
        <v>0</v>
      </c>
    </row>
    <row r="73" spans="1:9" x14ac:dyDescent="0.25">
      <c r="A73" s="56" t="s">
        <v>455</v>
      </c>
      <c r="B73" s="57" t="s">
        <v>435</v>
      </c>
      <c r="C73" s="57">
        <v>4</v>
      </c>
      <c r="D73" s="57">
        <v>6</v>
      </c>
      <c r="E73" s="58" t="s">
        <v>14</v>
      </c>
      <c r="F73" s="61"/>
      <c r="G73" s="57"/>
      <c r="H73" s="59" t="s">
        <v>436</v>
      </c>
      <c r="I73" s="27">
        <v>0</v>
      </c>
    </row>
    <row r="74" spans="1:9" x14ac:dyDescent="0.25">
      <c r="A74" s="56" t="s">
        <v>456</v>
      </c>
      <c r="B74" s="57" t="s">
        <v>435</v>
      </c>
      <c r="C74" s="57">
        <v>4</v>
      </c>
      <c r="D74" s="57">
        <v>7</v>
      </c>
      <c r="E74" s="58" t="s">
        <v>14</v>
      </c>
      <c r="F74" s="61"/>
      <c r="G74" s="57"/>
      <c r="H74" s="59" t="s">
        <v>436</v>
      </c>
      <c r="I74" s="27">
        <v>0</v>
      </c>
    </row>
    <row r="75" spans="1:9" x14ac:dyDescent="0.25">
      <c r="A75" s="56" t="s">
        <v>457</v>
      </c>
      <c r="B75" s="57" t="s">
        <v>435</v>
      </c>
      <c r="C75" s="57">
        <v>4</v>
      </c>
      <c r="D75" s="57">
        <v>8</v>
      </c>
      <c r="E75" s="58" t="s">
        <v>14</v>
      </c>
      <c r="F75" s="61"/>
      <c r="G75" s="57"/>
      <c r="H75" s="59" t="s">
        <v>436</v>
      </c>
      <c r="I75" s="27">
        <v>0</v>
      </c>
    </row>
    <row r="76" spans="1:9" x14ac:dyDescent="0.25">
      <c r="A76" s="56" t="s">
        <v>437</v>
      </c>
      <c r="B76" s="57" t="s">
        <v>438</v>
      </c>
      <c r="C76" s="57">
        <v>4</v>
      </c>
      <c r="D76" s="57">
        <v>1</v>
      </c>
      <c r="E76" s="58" t="s">
        <v>14</v>
      </c>
      <c r="F76" s="61" t="s">
        <v>450</v>
      </c>
      <c r="G76" s="57"/>
      <c r="H76" s="59" t="s">
        <v>436</v>
      </c>
      <c r="I76" s="27">
        <v>1</v>
      </c>
    </row>
    <row r="77" spans="1:9" x14ac:dyDescent="0.25">
      <c r="A77" s="56" t="s">
        <v>458</v>
      </c>
      <c r="B77" s="57" t="s">
        <v>438</v>
      </c>
      <c r="C77" s="57">
        <v>4</v>
      </c>
      <c r="D77" s="57">
        <v>2</v>
      </c>
      <c r="E77" s="58" t="s">
        <v>14</v>
      </c>
      <c r="F77" s="61"/>
      <c r="G77" s="57"/>
      <c r="H77" s="59" t="s">
        <v>436</v>
      </c>
      <c r="I77" s="27">
        <v>0</v>
      </c>
    </row>
    <row r="78" spans="1:9" x14ac:dyDescent="0.25">
      <c r="A78" s="56" t="s">
        <v>459</v>
      </c>
      <c r="B78" s="57" t="s">
        <v>438</v>
      </c>
      <c r="C78" s="57">
        <v>4</v>
      </c>
      <c r="D78" s="57">
        <v>3</v>
      </c>
      <c r="E78" s="58" t="s">
        <v>14</v>
      </c>
      <c r="F78" s="61"/>
      <c r="G78" s="57"/>
      <c r="H78" s="59" t="s">
        <v>436</v>
      </c>
      <c r="I78" s="27">
        <v>0</v>
      </c>
    </row>
    <row r="79" spans="1:9" x14ac:dyDescent="0.25">
      <c r="A79" s="56" t="s">
        <v>460</v>
      </c>
      <c r="B79" s="57" t="s">
        <v>438</v>
      </c>
      <c r="C79" s="57">
        <v>4</v>
      </c>
      <c r="D79" s="57">
        <v>4</v>
      </c>
      <c r="E79" s="58" t="s">
        <v>14</v>
      </c>
      <c r="F79" s="61"/>
      <c r="G79" s="57"/>
      <c r="H79" s="59" t="s">
        <v>436</v>
      </c>
      <c r="I79" s="27">
        <v>0</v>
      </c>
    </row>
    <row r="80" spans="1:9" x14ac:dyDescent="0.25">
      <c r="A80" s="56" t="s">
        <v>461</v>
      </c>
      <c r="B80" s="57" t="s">
        <v>438</v>
      </c>
      <c r="C80" s="57">
        <v>4</v>
      </c>
      <c r="D80" s="57">
        <v>5</v>
      </c>
      <c r="E80" s="58" t="s">
        <v>14</v>
      </c>
      <c r="F80" s="61"/>
      <c r="G80" s="57"/>
      <c r="H80" s="59" t="s">
        <v>436</v>
      </c>
      <c r="I80" s="27">
        <v>0</v>
      </c>
    </row>
    <row r="81" spans="1:9" x14ac:dyDescent="0.25">
      <c r="A81" s="56" t="s">
        <v>462</v>
      </c>
      <c r="B81" s="57" t="s">
        <v>438</v>
      </c>
      <c r="C81" s="57">
        <v>4</v>
      </c>
      <c r="D81" s="57">
        <v>6</v>
      </c>
      <c r="E81" s="58" t="s">
        <v>14</v>
      </c>
      <c r="F81" s="61"/>
      <c r="G81" s="57"/>
      <c r="H81" s="59" t="s">
        <v>436</v>
      </c>
      <c r="I81" s="27">
        <v>0</v>
      </c>
    </row>
    <row r="82" spans="1:9" x14ac:dyDescent="0.25">
      <c r="A82" s="56" t="s">
        <v>463</v>
      </c>
      <c r="B82" s="57" t="s">
        <v>438</v>
      </c>
      <c r="C82" s="57">
        <v>4</v>
      </c>
      <c r="D82" s="57">
        <v>7</v>
      </c>
      <c r="E82" s="58" t="s">
        <v>14</v>
      </c>
      <c r="F82" s="61"/>
      <c r="G82" s="57"/>
      <c r="H82" s="59" t="s">
        <v>436</v>
      </c>
      <c r="I82" s="27">
        <v>0</v>
      </c>
    </row>
    <row r="83" spans="1:9" x14ac:dyDescent="0.25">
      <c r="A83" s="56" t="s">
        <v>464</v>
      </c>
      <c r="B83" s="57" t="s">
        <v>438</v>
      </c>
      <c r="C83" s="57">
        <v>4</v>
      </c>
      <c r="D83" s="57">
        <v>8</v>
      </c>
      <c r="E83" s="58" t="s">
        <v>14</v>
      </c>
      <c r="F83" s="61"/>
      <c r="G83" s="57"/>
      <c r="H83" s="59" t="s">
        <v>436</v>
      </c>
      <c r="I83" s="27">
        <v>0</v>
      </c>
    </row>
  </sheetData>
  <mergeCells count="1">
    <mergeCell ref="H26:H27"/>
  </mergeCells>
  <phoneticPr fontId="6" type="noConversion"/>
  <conditionalFormatting sqref="I2:I64 I66:I83">
    <cfRule type="cellIs" dxfId="2" priority="2" operator="equal">
      <formula>1</formula>
    </cfRule>
  </conditionalFormatting>
  <conditionalFormatting sqref="I65">
    <cfRule type="cellIs" dxfId="0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7"/>
  <sheetViews>
    <sheetView zoomScale="85" zoomScaleNormal="85" workbookViewId="0">
      <selection activeCell="E13" sqref="E13"/>
    </sheetView>
  </sheetViews>
  <sheetFormatPr defaultColWidth="8.7109375" defaultRowHeight="15" x14ac:dyDescent="0.25"/>
  <cols>
    <col min="1" max="1" width="4.28515625" customWidth="1"/>
    <col min="2" max="2" width="58.140625" customWidth="1"/>
    <col min="3" max="3" width="16.5703125" customWidth="1"/>
    <col min="4" max="4" width="15" style="16" customWidth="1"/>
    <col min="5" max="5" width="32.5703125" customWidth="1"/>
    <col min="6" max="6" width="31.7109375" customWidth="1"/>
  </cols>
  <sheetData>
    <row r="1" spans="1:6" x14ac:dyDescent="0.25">
      <c r="B1" s="2" t="s">
        <v>0</v>
      </c>
      <c r="C1" s="2" t="s">
        <v>1</v>
      </c>
      <c r="D1" s="2" t="s">
        <v>113</v>
      </c>
      <c r="E1" s="2" t="s">
        <v>5</v>
      </c>
      <c r="F1" s="2"/>
    </row>
    <row r="2" spans="1:6" ht="36.75" customHeight="1" x14ac:dyDescent="0.25">
      <c r="A2">
        <v>1</v>
      </c>
      <c r="B2" s="17" t="s">
        <v>268</v>
      </c>
      <c r="C2" t="s">
        <v>269</v>
      </c>
      <c r="D2" s="2">
        <v>1</v>
      </c>
      <c r="E2" s="26" t="s">
        <v>116</v>
      </c>
      <c r="F2" s="2"/>
    </row>
    <row r="3" spans="1:6" ht="16.5" customHeight="1" x14ac:dyDescent="0.25">
      <c r="A3">
        <v>2</v>
      </c>
      <c r="B3" s="17" t="s">
        <v>114</v>
      </c>
      <c r="C3" t="s">
        <v>115</v>
      </c>
      <c r="D3" s="2">
        <v>1</v>
      </c>
      <c r="E3" s="26"/>
      <c r="F3" s="2"/>
    </row>
    <row r="4" spans="1:6" x14ac:dyDescent="0.25">
      <c r="A4">
        <v>3</v>
      </c>
      <c r="B4" s="17" t="s">
        <v>117</v>
      </c>
      <c r="C4" t="s">
        <v>118</v>
      </c>
      <c r="D4" s="2">
        <v>1</v>
      </c>
      <c r="E4" s="26"/>
    </row>
    <row r="5" spans="1:6" x14ac:dyDescent="0.25">
      <c r="A5">
        <f t="shared" ref="A5:A68" si="0">1+A4</f>
        <v>4</v>
      </c>
      <c r="B5" s="17" t="s">
        <v>119</v>
      </c>
      <c r="C5" t="s">
        <v>120</v>
      </c>
      <c r="D5" s="2">
        <v>0</v>
      </c>
      <c r="E5" s="26"/>
    </row>
    <row r="6" spans="1:6" x14ac:dyDescent="0.25">
      <c r="A6">
        <f t="shared" si="0"/>
        <v>5</v>
      </c>
      <c r="B6" s="17" t="s">
        <v>121</v>
      </c>
      <c r="C6" t="s">
        <v>122</v>
      </c>
      <c r="D6" s="2">
        <v>0</v>
      </c>
      <c r="E6" s="26"/>
    </row>
    <row r="7" spans="1:6" x14ac:dyDescent="0.25">
      <c r="A7">
        <f t="shared" si="0"/>
        <v>6</v>
      </c>
      <c r="B7" s="17" t="s">
        <v>123</v>
      </c>
      <c r="C7" t="s">
        <v>124</v>
      </c>
      <c r="D7" s="2">
        <v>1</v>
      </c>
      <c r="E7" s="26"/>
    </row>
    <row r="8" spans="1:6" x14ac:dyDescent="0.25">
      <c r="A8">
        <f t="shared" si="0"/>
        <v>7</v>
      </c>
      <c r="B8" s="17" t="s">
        <v>125</v>
      </c>
      <c r="C8" t="s">
        <v>126</v>
      </c>
      <c r="D8" s="2">
        <v>0</v>
      </c>
      <c r="E8" s="26"/>
    </row>
    <row r="9" spans="1:6" x14ac:dyDescent="0.25">
      <c r="A9">
        <f t="shared" si="0"/>
        <v>8</v>
      </c>
      <c r="B9" s="17" t="s">
        <v>127</v>
      </c>
      <c r="C9" t="s">
        <v>128</v>
      </c>
      <c r="D9" s="2">
        <v>0</v>
      </c>
      <c r="E9" s="26"/>
    </row>
    <row r="10" spans="1:6" x14ac:dyDescent="0.25">
      <c r="A10">
        <f t="shared" si="0"/>
        <v>9</v>
      </c>
      <c r="B10" s="17" t="s">
        <v>129</v>
      </c>
      <c r="C10" t="s">
        <v>130</v>
      </c>
      <c r="D10" s="2">
        <v>0</v>
      </c>
      <c r="E10" s="26"/>
    </row>
    <row r="11" spans="1:6" x14ac:dyDescent="0.25">
      <c r="A11">
        <f t="shared" si="0"/>
        <v>10</v>
      </c>
      <c r="B11" s="17" t="s">
        <v>131</v>
      </c>
      <c r="C11" t="s">
        <v>132</v>
      </c>
      <c r="D11" s="2">
        <v>0</v>
      </c>
      <c r="E11" s="26"/>
    </row>
    <row r="12" spans="1:6" x14ac:dyDescent="0.25">
      <c r="A12">
        <f t="shared" si="0"/>
        <v>11</v>
      </c>
      <c r="B12" s="17" t="s">
        <v>133</v>
      </c>
      <c r="C12" t="s">
        <v>134</v>
      </c>
      <c r="D12" s="2">
        <v>0</v>
      </c>
      <c r="E12" s="26"/>
    </row>
    <row r="13" spans="1:6" x14ac:dyDescent="0.25">
      <c r="A13">
        <f t="shared" si="0"/>
        <v>12</v>
      </c>
      <c r="B13" s="17" t="s">
        <v>135</v>
      </c>
      <c r="C13" t="s">
        <v>136</v>
      </c>
      <c r="D13" s="2">
        <v>0</v>
      </c>
      <c r="E13" s="26"/>
    </row>
    <row r="14" spans="1:6" x14ac:dyDescent="0.25">
      <c r="A14">
        <f t="shared" si="0"/>
        <v>13</v>
      </c>
      <c r="B14" s="17" t="s">
        <v>137</v>
      </c>
      <c r="C14" t="s">
        <v>138</v>
      </c>
      <c r="D14" s="2">
        <v>0</v>
      </c>
      <c r="E14" s="26"/>
    </row>
    <row r="15" spans="1:6" x14ac:dyDescent="0.25">
      <c r="A15">
        <f t="shared" si="0"/>
        <v>14</v>
      </c>
      <c r="B15" s="17" t="s">
        <v>139</v>
      </c>
      <c r="C15" t="s">
        <v>140</v>
      </c>
      <c r="D15" s="2">
        <v>0</v>
      </c>
      <c r="E15" s="26"/>
    </row>
    <row r="16" spans="1:6" x14ac:dyDescent="0.25">
      <c r="A16">
        <f t="shared" si="0"/>
        <v>15</v>
      </c>
      <c r="B16" s="17" t="s">
        <v>141</v>
      </c>
      <c r="C16" t="s">
        <v>142</v>
      </c>
      <c r="D16" s="2">
        <v>0</v>
      </c>
      <c r="E16" s="26"/>
    </row>
    <row r="17" spans="1:5" x14ac:dyDescent="0.25">
      <c r="A17">
        <f t="shared" si="0"/>
        <v>16</v>
      </c>
      <c r="B17" s="17" t="s">
        <v>143</v>
      </c>
      <c r="C17" t="s">
        <v>144</v>
      </c>
      <c r="D17" s="2">
        <v>0</v>
      </c>
      <c r="E17" s="26"/>
    </row>
    <row r="18" spans="1:5" x14ac:dyDescent="0.25">
      <c r="A18">
        <f t="shared" si="0"/>
        <v>17</v>
      </c>
      <c r="B18" s="17" t="s">
        <v>145</v>
      </c>
      <c r="C18" t="s">
        <v>146</v>
      </c>
      <c r="D18" s="2">
        <v>0</v>
      </c>
      <c r="E18" s="26"/>
    </row>
    <row r="19" spans="1:5" x14ac:dyDescent="0.25">
      <c r="A19">
        <f t="shared" si="0"/>
        <v>18</v>
      </c>
      <c r="B19" s="17" t="s">
        <v>147</v>
      </c>
      <c r="C19" t="s">
        <v>148</v>
      </c>
      <c r="D19" s="2">
        <v>0</v>
      </c>
      <c r="E19" s="26"/>
    </row>
    <row r="20" spans="1:5" x14ac:dyDescent="0.25">
      <c r="A20">
        <f t="shared" si="0"/>
        <v>19</v>
      </c>
      <c r="B20" s="17" t="s">
        <v>149</v>
      </c>
      <c r="C20" t="s">
        <v>150</v>
      </c>
      <c r="D20" s="2">
        <v>0</v>
      </c>
      <c r="E20" s="26"/>
    </row>
    <row r="21" spans="1:5" x14ac:dyDescent="0.25">
      <c r="A21">
        <f t="shared" si="0"/>
        <v>20</v>
      </c>
      <c r="B21" s="17" t="s">
        <v>151</v>
      </c>
      <c r="C21" t="s">
        <v>152</v>
      </c>
      <c r="D21" s="2">
        <v>0</v>
      </c>
      <c r="E21" s="26"/>
    </row>
    <row r="22" spans="1:5" x14ac:dyDescent="0.25">
      <c r="A22">
        <f t="shared" si="0"/>
        <v>21</v>
      </c>
      <c r="B22" s="17" t="s">
        <v>153</v>
      </c>
      <c r="C22" t="s">
        <v>154</v>
      </c>
      <c r="D22" s="2">
        <v>0</v>
      </c>
      <c r="E22" s="26"/>
    </row>
    <row r="23" spans="1:5" x14ac:dyDescent="0.25">
      <c r="A23">
        <f t="shared" si="0"/>
        <v>22</v>
      </c>
      <c r="B23" s="17" t="s">
        <v>155</v>
      </c>
      <c r="C23" t="s">
        <v>156</v>
      </c>
      <c r="D23" s="2">
        <v>0</v>
      </c>
      <c r="E23" s="26"/>
    </row>
    <row r="24" spans="1:5" x14ac:dyDescent="0.25">
      <c r="A24">
        <f t="shared" si="0"/>
        <v>23</v>
      </c>
      <c r="B24" s="17" t="s">
        <v>157</v>
      </c>
      <c r="C24" t="s">
        <v>158</v>
      </c>
      <c r="D24" s="2">
        <v>0</v>
      </c>
      <c r="E24" s="26"/>
    </row>
    <row r="25" spans="1:5" x14ac:dyDescent="0.25">
      <c r="A25">
        <f t="shared" si="0"/>
        <v>24</v>
      </c>
      <c r="B25" s="17" t="s">
        <v>159</v>
      </c>
      <c r="C25" t="s">
        <v>160</v>
      </c>
      <c r="D25" s="2">
        <v>0</v>
      </c>
      <c r="E25" s="26"/>
    </row>
    <row r="26" spans="1:5" x14ac:dyDescent="0.25">
      <c r="A26">
        <f t="shared" si="0"/>
        <v>25</v>
      </c>
      <c r="B26" s="17" t="s">
        <v>161</v>
      </c>
      <c r="C26" t="s">
        <v>162</v>
      </c>
      <c r="D26" s="2">
        <v>0</v>
      </c>
      <c r="E26" s="26"/>
    </row>
    <row r="27" spans="1:5" x14ac:dyDescent="0.25">
      <c r="A27">
        <f t="shared" si="0"/>
        <v>26</v>
      </c>
      <c r="B27" s="17" t="s">
        <v>163</v>
      </c>
      <c r="C27" t="s">
        <v>164</v>
      </c>
      <c r="D27" s="2">
        <v>0</v>
      </c>
      <c r="E27" s="26"/>
    </row>
    <row r="28" spans="1:5" x14ac:dyDescent="0.25">
      <c r="A28">
        <f t="shared" si="0"/>
        <v>27</v>
      </c>
      <c r="B28" s="17" t="s">
        <v>165</v>
      </c>
      <c r="C28" t="s">
        <v>166</v>
      </c>
      <c r="D28" s="2">
        <v>0</v>
      </c>
      <c r="E28" s="26"/>
    </row>
    <row r="29" spans="1:5" x14ac:dyDescent="0.25">
      <c r="A29">
        <f t="shared" si="0"/>
        <v>28</v>
      </c>
      <c r="B29" s="17" t="s">
        <v>167</v>
      </c>
      <c r="C29" t="s">
        <v>168</v>
      </c>
      <c r="D29" s="2">
        <v>0</v>
      </c>
      <c r="E29" s="26"/>
    </row>
    <row r="30" spans="1:5" x14ac:dyDescent="0.25">
      <c r="A30">
        <f t="shared" si="0"/>
        <v>29</v>
      </c>
      <c r="B30" s="17" t="s">
        <v>169</v>
      </c>
      <c r="C30" t="s">
        <v>170</v>
      </c>
      <c r="D30" s="2">
        <v>0</v>
      </c>
      <c r="E30" s="26"/>
    </row>
    <row r="31" spans="1:5" x14ac:dyDescent="0.25">
      <c r="A31">
        <f t="shared" si="0"/>
        <v>30</v>
      </c>
      <c r="B31" s="17" t="s">
        <v>171</v>
      </c>
      <c r="C31" t="s">
        <v>172</v>
      </c>
      <c r="D31" s="2">
        <v>0</v>
      </c>
      <c r="E31" s="26"/>
    </row>
    <row r="32" spans="1:5" x14ac:dyDescent="0.25">
      <c r="A32">
        <f t="shared" si="0"/>
        <v>31</v>
      </c>
      <c r="B32" s="17" t="s">
        <v>173</v>
      </c>
      <c r="C32" t="s">
        <v>174</v>
      </c>
      <c r="D32" s="2">
        <v>0</v>
      </c>
      <c r="E32" s="26"/>
    </row>
    <row r="33" spans="1:5" x14ac:dyDescent="0.25">
      <c r="A33">
        <f t="shared" si="0"/>
        <v>32</v>
      </c>
      <c r="B33" s="17" t="s">
        <v>175</v>
      </c>
      <c r="C33" t="s">
        <v>176</v>
      </c>
      <c r="D33" s="2">
        <v>0</v>
      </c>
      <c r="E33" s="26"/>
    </row>
    <row r="34" spans="1:5" x14ac:dyDescent="0.25">
      <c r="A34">
        <f t="shared" si="0"/>
        <v>33</v>
      </c>
      <c r="B34" s="17" t="s">
        <v>177</v>
      </c>
      <c r="C34" t="s">
        <v>178</v>
      </c>
      <c r="D34" s="2">
        <v>0</v>
      </c>
      <c r="E34" s="26"/>
    </row>
    <row r="35" spans="1:5" x14ac:dyDescent="0.25">
      <c r="A35">
        <f t="shared" si="0"/>
        <v>34</v>
      </c>
      <c r="B35" s="17" t="s">
        <v>179</v>
      </c>
      <c r="C35" t="s">
        <v>180</v>
      </c>
      <c r="D35" s="2">
        <v>0</v>
      </c>
      <c r="E35" s="26"/>
    </row>
    <row r="36" spans="1:5" x14ac:dyDescent="0.25">
      <c r="A36">
        <f t="shared" si="0"/>
        <v>35</v>
      </c>
      <c r="B36" s="17" t="s">
        <v>181</v>
      </c>
      <c r="C36" t="s">
        <v>182</v>
      </c>
      <c r="D36" s="2">
        <v>0</v>
      </c>
      <c r="E36" s="26"/>
    </row>
    <row r="37" spans="1:5" x14ac:dyDescent="0.25">
      <c r="A37">
        <f t="shared" si="0"/>
        <v>36</v>
      </c>
      <c r="B37" s="17" t="s">
        <v>183</v>
      </c>
      <c r="C37" t="s">
        <v>184</v>
      </c>
      <c r="D37" s="2">
        <v>0</v>
      </c>
      <c r="E37" s="26"/>
    </row>
    <row r="38" spans="1:5" x14ac:dyDescent="0.25">
      <c r="A38">
        <f t="shared" si="0"/>
        <v>37</v>
      </c>
      <c r="B38" s="17" t="s">
        <v>185</v>
      </c>
      <c r="C38" t="s">
        <v>186</v>
      </c>
      <c r="D38" s="2">
        <v>0</v>
      </c>
      <c r="E38" s="26"/>
    </row>
    <row r="39" spans="1:5" x14ac:dyDescent="0.25">
      <c r="A39">
        <f t="shared" si="0"/>
        <v>38</v>
      </c>
      <c r="B39" s="17" t="s">
        <v>187</v>
      </c>
      <c r="C39" t="s">
        <v>188</v>
      </c>
      <c r="D39" s="2">
        <v>0</v>
      </c>
      <c r="E39" s="26"/>
    </row>
    <row r="40" spans="1:5" x14ac:dyDescent="0.25">
      <c r="A40">
        <f t="shared" si="0"/>
        <v>39</v>
      </c>
      <c r="B40" s="17" t="s">
        <v>189</v>
      </c>
      <c r="C40" t="s">
        <v>190</v>
      </c>
      <c r="D40" s="2">
        <v>0</v>
      </c>
      <c r="E40" s="26"/>
    </row>
    <row r="41" spans="1:5" x14ac:dyDescent="0.25">
      <c r="A41">
        <f t="shared" si="0"/>
        <v>40</v>
      </c>
      <c r="B41" s="17" t="s">
        <v>191</v>
      </c>
      <c r="C41" t="s">
        <v>192</v>
      </c>
      <c r="D41" s="2">
        <v>0</v>
      </c>
      <c r="E41" s="26"/>
    </row>
    <row r="42" spans="1:5" x14ac:dyDescent="0.25">
      <c r="A42">
        <f t="shared" si="0"/>
        <v>41</v>
      </c>
      <c r="B42" s="17" t="s">
        <v>193</v>
      </c>
      <c r="C42" t="s">
        <v>194</v>
      </c>
      <c r="D42" s="2">
        <v>0</v>
      </c>
      <c r="E42" s="26"/>
    </row>
    <row r="43" spans="1:5" x14ac:dyDescent="0.25">
      <c r="A43">
        <f t="shared" si="0"/>
        <v>42</v>
      </c>
      <c r="B43" s="17" t="s">
        <v>195</v>
      </c>
      <c r="C43" t="s">
        <v>196</v>
      </c>
      <c r="D43" s="2">
        <v>0</v>
      </c>
      <c r="E43" s="26"/>
    </row>
    <row r="44" spans="1:5" x14ac:dyDescent="0.25">
      <c r="A44">
        <f t="shared" si="0"/>
        <v>43</v>
      </c>
      <c r="B44" s="17" t="s">
        <v>197</v>
      </c>
      <c r="C44" t="s">
        <v>198</v>
      </c>
      <c r="D44" s="2">
        <v>0</v>
      </c>
      <c r="E44" s="26"/>
    </row>
    <row r="45" spans="1:5" x14ac:dyDescent="0.25">
      <c r="A45">
        <f t="shared" si="0"/>
        <v>44</v>
      </c>
      <c r="B45" s="17" t="s">
        <v>199</v>
      </c>
      <c r="C45" t="s">
        <v>200</v>
      </c>
      <c r="D45" s="2">
        <v>0</v>
      </c>
      <c r="E45" s="26"/>
    </row>
    <row r="46" spans="1:5" x14ac:dyDescent="0.25">
      <c r="A46">
        <f t="shared" si="0"/>
        <v>45</v>
      </c>
      <c r="B46" s="17" t="s">
        <v>201</v>
      </c>
      <c r="C46" t="s">
        <v>202</v>
      </c>
      <c r="D46" s="2">
        <v>0</v>
      </c>
      <c r="E46" s="26"/>
    </row>
    <row r="47" spans="1:5" x14ac:dyDescent="0.25">
      <c r="A47">
        <f t="shared" si="0"/>
        <v>46</v>
      </c>
      <c r="B47" s="17" t="s">
        <v>203</v>
      </c>
      <c r="C47" t="s">
        <v>204</v>
      </c>
      <c r="D47" s="2">
        <v>0</v>
      </c>
      <c r="E47" s="26"/>
    </row>
    <row r="48" spans="1:5" x14ac:dyDescent="0.25">
      <c r="A48">
        <f t="shared" si="0"/>
        <v>47</v>
      </c>
      <c r="B48" s="17" t="s">
        <v>205</v>
      </c>
      <c r="C48" t="s">
        <v>206</v>
      </c>
      <c r="D48" s="2">
        <v>0</v>
      </c>
      <c r="E48" s="26"/>
    </row>
    <row r="49" spans="1:5" x14ac:dyDescent="0.25">
      <c r="A49">
        <f t="shared" si="0"/>
        <v>48</v>
      </c>
      <c r="B49" s="17" t="s">
        <v>207</v>
      </c>
      <c r="C49" t="s">
        <v>208</v>
      </c>
      <c r="D49" s="2">
        <v>0</v>
      </c>
      <c r="E49" s="26"/>
    </row>
    <row r="50" spans="1:5" x14ac:dyDescent="0.25">
      <c r="A50">
        <f t="shared" si="0"/>
        <v>49</v>
      </c>
      <c r="B50" s="17" t="s">
        <v>209</v>
      </c>
      <c r="C50" t="s">
        <v>210</v>
      </c>
      <c r="D50" s="2">
        <v>0</v>
      </c>
      <c r="E50" s="26"/>
    </row>
    <row r="51" spans="1:5" x14ac:dyDescent="0.25">
      <c r="A51">
        <f t="shared" si="0"/>
        <v>50</v>
      </c>
      <c r="B51" s="17" t="s">
        <v>211</v>
      </c>
      <c r="C51" t="s">
        <v>107</v>
      </c>
      <c r="D51" s="2">
        <v>0</v>
      </c>
      <c r="E51" s="26"/>
    </row>
    <row r="52" spans="1:5" x14ac:dyDescent="0.25">
      <c r="A52">
        <f t="shared" si="0"/>
        <v>51</v>
      </c>
      <c r="B52" s="17" t="s">
        <v>212</v>
      </c>
      <c r="C52" t="s">
        <v>105</v>
      </c>
      <c r="D52" s="2">
        <v>0</v>
      </c>
      <c r="E52" s="26"/>
    </row>
    <row r="53" spans="1:5" x14ac:dyDescent="0.25">
      <c r="A53">
        <f t="shared" si="0"/>
        <v>52</v>
      </c>
      <c r="B53" s="17" t="s">
        <v>213</v>
      </c>
      <c r="C53" t="s">
        <v>214</v>
      </c>
      <c r="D53" s="2">
        <v>0</v>
      </c>
      <c r="E53" s="26"/>
    </row>
    <row r="54" spans="1:5" x14ac:dyDescent="0.25">
      <c r="A54">
        <f t="shared" si="0"/>
        <v>53</v>
      </c>
      <c r="B54" s="17" t="s">
        <v>215</v>
      </c>
      <c r="C54" t="s">
        <v>216</v>
      </c>
      <c r="D54" s="2">
        <v>0</v>
      </c>
      <c r="E54" s="26"/>
    </row>
    <row r="55" spans="1:5" x14ac:dyDescent="0.25">
      <c r="A55">
        <f t="shared" si="0"/>
        <v>54</v>
      </c>
      <c r="B55" s="17" t="s">
        <v>217</v>
      </c>
      <c r="C55" t="s">
        <v>218</v>
      </c>
      <c r="D55" s="2">
        <v>1</v>
      </c>
      <c r="E55" s="26"/>
    </row>
    <row r="56" spans="1:5" x14ac:dyDescent="0.25">
      <c r="A56">
        <f t="shared" si="0"/>
        <v>55</v>
      </c>
      <c r="B56" s="17" t="s">
        <v>219</v>
      </c>
      <c r="C56" t="s">
        <v>220</v>
      </c>
      <c r="D56" s="2">
        <v>1</v>
      </c>
      <c r="E56" s="26"/>
    </row>
    <row r="57" spans="1:5" x14ac:dyDescent="0.25">
      <c r="A57">
        <f t="shared" si="0"/>
        <v>56</v>
      </c>
      <c r="B57" s="17" t="s">
        <v>317</v>
      </c>
      <c r="C57" t="s">
        <v>318</v>
      </c>
      <c r="D57" s="2">
        <v>0</v>
      </c>
      <c r="E57" s="26"/>
    </row>
    <row r="58" spans="1:5" x14ac:dyDescent="0.25">
      <c r="A58">
        <f t="shared" si="0"/>
        <v>57</v>
      </c>
      <c r="B58" s="17" t="s">
        <v>319</v>
      </c>
      <c r="C58" t="s">
        <v>320</v>
      </c>
      <c r="D58" s="2">
        <v>0</v>
      </c>
    </row>
    <row r="59" spans="1:5" x14ac:dyDescent="0.25">
      <c r="A59">
        <f t="shared" si="0"/>
        <v>58</v>
      </c>
      <c r="B59" s="17" t="s">
        <v>321</v>
      </c>
      <c r="C59" t="s">
        <v>322</v>
      </c>
      <c r="D59" s="2">
        <v>0</v>
      </c>
    </row>
    <row r="60" spans="1:5" x14ac:dyDescent="0.25">
      <c r="A60">
        <f t="shared" si="0"/>
        <v>59</v>
      </c>
      <c r="B60" s="17" t="s">
        <v>323</v>
      </c>
      <c r="C60" t="s">
        <v>324</v>
      </c>
      <c r="D60" s="2">
        <v>0</v>
      </c>
    </row>
    <row r="61" spans="1:5" x14ac:dyDescent="0.25">
      <c r="A61">
        <f t="shared" si="0"/>
        <v>60</v>
      </c>
      <c r="B61" s="17" t="s">
        <v>325</v>
      </c>
      <c r="C61" t="s">
        <v>326</v>
      </c>
      <c r="D61" s="2">
        <v>0</v>
      </c>
    </row>
    <row r="62" spans="1:5" x14ac:dyDescent="0.25">
      <c r="A62">
        <f t="shared" si="0"/>
        <v>61</v>
      </c>
      <c r="B62" s="17" t="s">
        <v>327</v>
      </c>
      <c r="C62" t="s">
        <v>328</v>
      </c>
      <c r="D62" s="2">
        <v>0</v>
      </c>
    </row>
    <row r="63" spans="1:5" x14ac:dyDescent="0.25">
      <c r="A63">
        <f t="shared" si="0"/>
        <v>62</v>
      </c>
      <c r="B63" s="17" t="s">
        <v>329</v>
      </c>
      <c r="C63" t="s">
        <v>330</v>
      </c>
      <c r="D63" s="2">
        <v>0</v>
      </c>
    </row>
    <row r="64" spans="1:5" x14ac:dyDescent="0.25">
      <c r="A64">
        <f t="shared" si="0"/>
        <v>63</v>
      </c>
      <c r="B64" s="17" t="s">
        <v>331</v>
      </c>
      <c r="C64" t="s">
        <v>332</v>
      </c>
      <c r="D64" s="2">
        <v>0</v>
      </c>
    </row>
    <row r="65" spans="1:4" x14ac:dyDescent="0.25">
      <c r="A65">
        <f t="shared" si="0"/>
        <v>64</v>
      </c>
      <c r="B65" s="17" t="s">
        <v>333</v>
      </c>
      <c r="C65" t="s">
        <v>334</v>
      </c>
      <c r="D65" s="2">
        <v>0</v>
      </c>
    </row>
    <row r="66" spans="1:4" x14ac:dyDescent="0.25">
      <c r="A66">
        <f t="shared" si="0"/>
        <v>65</v>
      </c>
      <c r="B66" s="17" t="s">
        <v>335</v>
      </c>
      <c r="C66" t="s">
        <v>336</v>
      </c>
      <c r="D66" s="2">
        <v>0</v>
      </c>
    </row>
    <row r="67" spans="1:4" x14ac:dyDescent="0.25">
      <c r="A67">
        <f t="shared" si="0"/>
        <v>66</v>
      </c>
      <c r="B67" s="17" t="s">
        <v>337</v>
      </c>
      <c r="C67" t="s">
        <v>338</v>
      </c>
      <c r="D67" s="2">
        <v>0</v>
      </c>
    </row>
    <row r="68" spans="1:4" x14ac:dyDescent="0.25">
      <c r="A68">
        <f t="shared" si="0"/>
        <v>67</v>
      </c>
      <c r="B68" s="17" t="s">
        <v>339</v>
      </c>
      <c r="C68" t="s">
        <v>340</v>
      </c>
      <c r="D68" s="2">
        <v>0</v>
      </c>
    </row>
    <row r="69" spans="1:4" x14ac:dyDescent="0.25">
      <c r="A69">
        <f t="shared" ref="A69:A77" si="1">1+A68</f>
        <v>68</v>
      </c>
      <c r="B69" s="17" t="s">
        <v>341</v>
      </c>
      <c r="C69" t="s">
        <v>342</v>
      </c>
      <c r="D69" s="2">
        <v>0</v>
      </c>
    </row>
    <row r="70" spans="1:4" x14ac:dyDescent="0.25">
      <c r="A70">
        <f t="shared" si="1"/>
        <v>69</v>
      </c>
      <c r="B70" s="17" t="s">
        <v>343</v>
      </c>
      <c r="C70" t="s">
        <v>344</v>
      </c>
      <c r="D70" s="2">
        <v>0</v>
      </c>
    </row>
    <row r="71" spans="1:4" x14ac:dyDescent="0.25">
      <c r="A71">
        <f t="shared" si="1"/>
        <v>70</v>
      </c>
      <c r="B71" s="17" t="s">
        <v>345</v>
      </c>
      <c r="C71" t="s">
        <v>346</v>
      </c>
      <c r="D71" s="2">
        <v>0</v>
      </c>
    </row>
    <row r="72" spans="1:4" x14ac:dyDescent="0.25">
      <c r="A72">
        <f t="shared" si="1"/>
        <v>71</v>
      </c>
      <c r="B72" s="17" t="s">
        <v>347</v>
      </c>
      <c r="C72" t="s">
        <v>348</v>
      </c>
      <c r="D72" s="2">
        <v>0</v>
      </c>
    </row>
    <row r="73" spans="1:4" x14ac:dyDescent="0.25">
      <c r="A73">
        <f t="shared" si="1"/>
        <v>72</v>
      </c>
      <c r="B73" s="17" t="s">
        <v>349</v>
      </c>
      <c r="C73" t="s">
        <v>350</v>
      </c>
      <c r="D73" s="2">
        <v>0</v>
      </c>
    </row>
    <row r="74" spans="1:4" x14ac:dyDescent="0.25">
      <c r="A74">
        <f t="shared" si="1"/>
        <v>73</v>
      </c>
      <c r="B74" s="17" t="s">
        <v>351</v>
      </c>
      <c r="C74" t="s">
        <v>352</v>
      </c>
      <c r="D74" s="2">
        <v>0</v>
      </c>
    </row>
    <row r="75" spans="1:4" x14ac:dyDescent="0.25">
      <c r="A75">
        <f t="shared" si="1"/>
        <v>74</v>
      </c>
      <c r="B75" s="17" t="s">
        <v>353</v>
      </c>
      <c r="C75" t="s">
        <v>354</v>
      </c>
      <c r="D75" s="2">
        <v>0</v>
      </c>
    </row>
    <row r="76" spans="1:4" x14ac:dyDescent="0.25">
      <c r="A76">
        <f t="shared" si="1"/>
        <v>75</v>
      </c>
      <c r="B76" s="17" t="s">
        <v>355</v>
      </c>
      <c r="C76" t="s">
        <v>356</v>
      </c>
      <c r="D76" s="2">
        <v>0</v>
      </c>
    </row>
    <row r="77" spans="1:4" x14ac:dyDescent="0.25">
      <c r="A77">
        <f t="shared" si="1"/>
        <v>76</v>
      </c>
      <c r="B77" s="17" t="s">
        <v>357</v>
      </c>
      <c r="C77" t="s">
        <v>358</v>
      </c>
      <c r="D77" s="2">
        <v>0</v>
      </c>
    </row>
  </sheetData>
  <conditionalFormatting sqref="D2:D77">
    <cfRule type="cellIs" dxfId="1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Перечисления!$E$13:$E$14</xm:f>
          </x14:formula1>
          <x14:formula2>
            <xm:f>0</xm:f>
          </x14:formula2>
          <xm:sqref>D2:D77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>
      <selection activeCell="C28" sqref="C28"/>
    </sheetView>
  </sheetViews>
  <sheetFormatPr defaultColWidth="8.7109375" defaultRowHeight="15" x14ac:dyDescent="0.25"/>
  <cols>
    <col min="1" max="1" width="48.28515625" style="1" customWidth="1"/>
    <col min="2" max="2" width="8.85546875" style="2" customWidth="1"/>
    <col min="3" max="3" width="19.85546875" style="2" customWidth="1"/>
    <col min="4" max="4" width="31" style="2" customWidth="1"/>
    <col min="5" max="9" width="9.140625" style="2" customWidth="1"/>
  </cols>
  <sheetData>
    <row r="1" spans="1:4" x14ac:dyDescent="0.25">
      <c r="A1" s="2" t="s">
        <v>221</v>
      </c>
      <c r="B1" s="2" t="s">
        <v>222</v>
      </c>
      <c r="C1" s="2" t="s">
        <v>223</v>
      </c>
    </row>
    <row r="2" spans="1:4" ht="15" customHeight="1" x14ac:dyDescent="0.25">
      <c r="A2" s="1" t="s">
        <v>224</v>
      </c>
      <c r="B2" s="2">
        <v>0</v>
      </c>
      <c r="C2" s="2">
        <v>1</v>
      </c>
      <c r="D2" s="64" t="s">
        <v>225</v>
      </c>
    </row>
    <row r="3" spans="1:4" x14ac:dyDescent="0.25">
      <c r="A3" s="1" t="s">
        <v>226</v>
      </c>
      <c r="B3" s="2">
        <v>1</v>
      </c>
      <c r="C3" s="2">
        <v>1</v>
      </c>
      <c r="D3" s="64"/>
    </row>
    <row r="4" spans="1:4" x14ac:dyDescent="0.25">
      <c r="A4" s="1" t="s">
        <v>227</v>
      </c>
      <c r="B4" s="2">
        <v>2</v>
      </c>
      <c r="C4" s="2">
        <v>1</v>
      </c>
      <c r="D4" s="64"/>
    </row>
    <row r="5" spans="1:4" x14ac:dyDescent="0.25">
      <c r="A5" s="1" t="s">
        <v>228</v>
      </c>
      <c r="B5" s="2">
        <v>3</v>
      </c>
      <c r="C5" s="2">
        <v>1</v>
      </c>
      <c r="D5" s="64"/>
    </row>
    <row r="6" spans="1:4" x14ac:dyDescent="0.25">
      <c r="A6" s="1" t="s">
        <v>229</v>
      </c>
      <c r="B6" s="2">
        <v>4</v>
      </c>
      <c r="C6" s="2">
        <v>1</v>
      </c>
      <c r="D6" s="64"/>
    </row>
    <row r="7" spans="1:4" x14ac:dyDescent="0.25">
      <c r="A7" s="1" t="s">
        <v>230</v>
      </c>
      <c r="B7" s="2">
        <v>5</v>
      </c>
      <c r="C7" s="2">
        <v>1</v>
      </c>
      <c r="D7" s="64"/>
    </row>
    <row r="8" spans="1:4" x14ac:dyDescent="0.25">
      <c r="A8" s="1" t="s">
        <v>231</v>
      </c>
      <c r="B8" s="2">
        <v>6</v>
      </c>
      <c r="C8" s="2">
        <v>1</v>
      </c>
      <c r="D8" s="64"/>
    </row>
    <row r="9" spans="1:4" x14ac:dyDescent="0.25">
      <c r="A9" s="1" t="s">
        <v>232</v>
      </c>
      <c r="B9" s="2">
        <v>7</v>
      </c>
      <c r="C9" s="2">
        <v>1</v>
      </c>
      <c r="D9" s="64"/>
    </row>
    <row r="10" spans="1:4" x14ac:dyDescent="0.25">
      <c r="A10" s="1" t="s">
        <v>233</v>
      </c>
      <c r="B10" s="2">
        <v>8</v>
      </c>
      <c r="C10" s="2">
        <v>1</v>
      </c>
      <c r="D10" s="64"/>
    </row>
    <row r="11" spans="1:4" x14ac:dyDescent="0.25">
      <c r="A11" s="1" t="s">
        <v>234</v>
      </c>
      <c r="B11" s="2">
        <v>9</v>
      </c>
      <c r="C11" s="2">
        <v>1</v>
      </c>
      <c r="D11" s="64"/>
    </row>
    <row r="12" spans="1:4" x14ac:dyDescent="0.25">
      <c r="A12" s="1" t="s">
        <v>235</v>
      </c>
      <c r="B12" s="2">
        <v>10</v>
      </c>
      <c r="C12" s="2">
        <v>1</v>
      </c>
      <c r="D12" s="64"/>
    </row>
    <row r="13" spans="1:4" x14ac:dyDescent="0.25">
      <c r="A13" s="1" t="s">
        <v>236</v>
      </c>
      <c r="B13" s="2">
        <v>11</v>
      </c>
      <c r="C13" s="2">
        <v>1</v>
      </c>
      <c r="D13" s="64"/>
    </row>
    <row r="14" spans="1:4" x14ac:dyDescent="0.25">
      <c r="A14" s="1" t="s">
        <v>305</v>
      </c>
      <c r="B14" s="2">
        <v>12</v>
      </c>
      <c r="C14" s="2">
        <v>1</v>
      </c>
      <c r="D14" s="64"/>
    </row>
    <row r="15" spans="1:4" x14ac:dyDescent="0.25">
      <c r="A15" s="1" t="s">
        <v>237</v>
      </c>
      <c r="B15" s="2">
        <v>13</v>
      </c>
      <c r="C15" s="2">
        <v>1</v>
      </c>
      <c r="D15" s="64"/>
    </row>
    <row r="16" spans="1:4" x14ac:dyDescent="0.25">
      <c r="A16" s="1" t="s">
        <v>238</v>
      </c>
      <c r="B16" s="2">
        <v>14</v>
      </c>
      <c r="C16" s="2">
        <v>1</v>
      </c>
      <c r="D16" s="64"/>
    </row>
    <row r="17" spans="1:4" x14ac:dyDescent="0.25">
      <c r="A17" s="1" t="s">
        <v>239</v>
      </c>
      <c r="B17" s="2">
        <v>16</v>
      </c>
      <c r="C17" s="2">
        <v>1</v>
      </c>
      <c r="D17" s="64"/>
    </row>
    <row r="18" spans="1:4" x14ac:dyDescent="0.25">
      <c r="A18" s="1" t="s">
        <v>240</v>
      </c>
      <c r="B18" s="2">
        <v>24</v>
      </c>
      <c r="C18" s="2">
        <v>1</v>
      </c>
      <c r="D18" s="64"/>
    </row>
    <row r="19" spans="1:4" x14ac:dyDescent="0.25">
      <c r="A19" s="1" t="s">
        <v>241</v>
      </c>
      <c r="B19" s="2">
        <v>25</v>
      </c>
      <c r="C19" s="2">
        <v>1</v>
      </c>
      <c r="D19" s="64"/>
    </row>
    <row r="20" spans="1:4" x14ac:dyDescent="0.25">
      <c r="A20" s="1" t="s">
        <v>242</v>
      </c>
      <c r="B20" s="2">
        <v>26</v>
      </c>
      <c r="C20" s="2">
        <v>1</v>
      </c>
      <c r="D20" s="64"/>
    </row>
    <row r="21" spans="1:4" x14ac:dyDescent="0.25">
      <c r="A21" s="1" t="s">
        <v>243</v>
      </c>
      <c r="B21" s="2">
        <v>27</v>
      </c>
      <c r="C21" s="2">
        <v>1</v>
      </c>
      <c r="D21" s="64"/>
    </row>
    <row r="23" spans="1:4" x14ac:dyDescent="0.25">
      <c r="A23" s="6" t="s">
        <v>56</v>
      </c>
      <c r="B23" s="2">
        <v>1</v>
      </c>
      <c r="D23" s="64" t="s">
        <v>315</v>
      </c>
    </row>
    <row r="24" spans="1:4" x14ac:dyDescent="0.25">
      <c r="D24" s="65"/>
    </row>
    <row r="25" spans="1:4" x14ac:dyDescent="0.25">
      <c r="D25" s="65"/>
    </row>
  </sheetData>
  <mergeCells count="2">
    <mergeCell ref="D2:D21"/>
    <mergeCell ref="D23:D25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Перечисления!$E$13:$E$14</xm:f>
          </x14:formula1>
          <x14:formula2>
            <xm:f>0</xm:f>
          </x14:formula2>
          <xm:sqref>C2:C21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1"/>
  <sheetViews>
    <sheetView workbookViewId="0">
      <selection activeCell="B36" sqref="B36"/>
    </sheetView>
  </sheetViews>
  <sheetFormatPr defaultRowHeight="15" x14ac:dyDescent="0.25"/>
  <cols>
    <col min="1" max="1" width="71.5703125" customWidth="1"/>
    <col min="2" max="2" width="25" customWidth="1"/>
    <col min="4" max="4" width="17.5703125" customWidth="1"/>
    <col min="5" max="5" width="29.28515625" customWidth="1"/>
    <col min="6" max="6" width="25.7109375" customWidth="1"/>
    <col min="8" max="8" width="57.7109375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4"/>
      <c r="F1" s="3" t="s">
        <v>4</v>
      </c>
      <c r="G1" s="3"/>
      <c r="H1" s="3" t="s">
        <v>5</v>
      </c>
      <c r="I1" s="27" t="s">
        <v>273</v>
      </c>
    </row>
    <row r="2" spans="1:9" s="35" customFormat="1" x14ac:dyDescent="0.25">
      <c r="A2" s="36" t="s">
        <v>40</v>
      </c>
      <c r="B2" s="37" t="s">
        <v>41</v>
      </c>
      <c r="C2" s="37">
        <v>3</v>
      </c>
      <c r="D2" s="37">
        <v>0</v>
      </c>
      <c r="E2" s="37" t="s">
        <v>42</v>
      </c>
      <c r="F2" s="41" t="s">
        <v>262</v>
      </c>
      <c r="G2" s="37"/>
      <c r="H2" s="36"/>
      <c r="I2" s="38">
        <v>1</v>
      </c>
    </row>
    <row r="3" spans="1:9" s="35" customFormat="1" x14ac:dyDescent="0.25">
      <c r="A3" s="36" t="s">
        <v>43</v>
      </c>
      <c r="B3" s="37" t="s">
        <v>41</v>
      </c>
      <c r="C3" s="37">
        <v>3</v>
      </c>
      <c r="D3" s="37">
        <v>1</v>
      </c>
      <c r="E3" s="37" t="s">
        <v>44</v>
      </c>
      <c r="F3" s="37" t="s">
        <v>45</v>
      </c>
      <c r="G3" s="37"/>
      <c r="H3" s="36" t="s">
        <v>46</v>
      </c>
      <c r="I3" s="38">
        <v>1</v>
      </c>
    </row>
    <row r="4" spans="1:9" s="35" customFormat="1" x14ac:dyDescent="0.25">
      <c r="A4" s="36" t="s">
        <v>47</v>
      </c>
      <c r="B4" s="37" t="s">
        <v>41</v>
      </c>
      <c r="C4" s="37">
        <v>5</v>
      </c>
      <c r="D4" s="37">
        <v>2</v>
      </c>
      <c r="E4" s="37" t="s">
        <v>48</v>
      </c>
      <c r="F4" s="37">
        <v>10</v>
      </c>
      <c r="G4" s="37" t="s">
        <v>23</v>
      </c>
      <c r="H4" s="36" t="s">
        <v>49</v>
      </c>
      <c r="I4" s="38">
        <v>1</v>
      </c>
    </row>
    <row r="5" spans="1:9" s="35" customFormat="1" x14ac:dyDescent="0.25">
      <c r="A5" s="36" t="s">
        <v>50</v>
      </c>
      <c r="B5" s="37" t="s">
        <v>41</v>
      </c>
      <c r="C5" s="37">
        <v>7</v>
      </c>
      <c r="D5" s="37">
        <v>3</v>
      </c>
      <c r="E5" s="37" t="s">
        <v>51</v>
      </c>
      <c r="F5" s="37">
        <v>1800</v>
      </c>
      <c r="G5" s="37" t="s">
        <v>23</v>
      </c>
      <c r="H5" s="36" t="s">
        <v>52</v>
      </c>
      <c r="I5" s="38">
        <v>1</v>
      </c>
    </row>
    <row r="6" spans="1:9" s="35" customFormat="1" x14ac:dyDescent="0.25">
      <c r="A6" s="36" t="s">
        <v>53</v>
      </c>
      <c r="B6" s="37" t="s">
        <v>41</v>
      </c>
      <c r="C6" s="37">
        <v>4</v>
      </c>
      <c r="D6" s="37">
        <v>4</v>
      </c>
      <c r="E6" s="37" t="s">
        <v>54</v>
      </c>
      <c r="F6" s="37"/>
      <c r="G6" s="37"/>
      <c r="H6" s="36" t="s">
        <v>55</v>
      </c>
      <c r="I6" s="38">
        <v>1</v>
      </c>
    </row>
    <row r="7" spans="1:9" s="35" customFormat="1" x14ac:dyDescent="0.25">
      <c r="A7" s="36" t="s">
        <v>482</v>
      </c>
      <c r="B7" s="37" t="s">
        <v>41</v>
      </c>
      <c r="C7" s="37">
        <v>6</v>
      </c>
      <c r="D7" s="37">
        <v>5</v>
      </c>
      <c r="E7" s="37" t="s">
        <v>483</v>
      </c>
      <c r="F7" s="41">
        <v>3</v>
      </c>
      <c r="G7" s="37"/>
      <c r="H7" s="36"/>
      <c r="I7" s="38">
        <v>1</v>
      </c>
    </row>
    <row r="8" spans="1:9" s="33" customFormat="1" x14ac:dyDescent="0.25">
      <c r="A8" s="39" t="s">
        <v>40</v>
      </c>
      <c r="B8" s="40" t="s">
        <v>302</v>
      </c>
      <c r="C8" s="40">
        <v>3</v>
      </c>
      <c r="D8" s="40">
        <v>0</v>
      </c>
      <c r="E8" s="40" t="s">
        <v>42</v>
      </c>
      <c r="F8" s="42" t="s">
        <v>262</v>
      </c>
      <c r="G8" s="40"/>
      <c r="H8" s="39"/>
      <c r="I8" s="50">
        <v>1</v>
      </c>
    </row>
    <row r="9" spans="1:9" s="33" customFormat="1" x14ac:dyDescent="0.25">
      <c r="A9" s="39" t="s">
        <v>43</v>
      </c>
      <c r="B9" s="40" t="s">
        <v>302</v>
      </c>
      <c r="C9" s="40">
        <v>3</v>
      </c>
      <c r="D9" s="40">
        <v>1</v>
      </c>
      <c r="E9" s="40" t="s">
        <v>44</v>
      </c>
      <c r="F9" s="40" t="s">
        <v>45</v>
      </c>
      <c r="G9" s="40"/>
      <c r="H9" s="39" t="s">
        <v>46</v>
      </c>
      <c r="I9" s="50">
        <v>1</v>
      </c>
    </row>
    <row r="10" spans="1:9" s="33" customFormat="1" x14ac:dyDescent="0.25">
      <c r="A10" s="39" t="s">
        <v>47</v>
      </c>
      <c r="B10" s="40" t="s">
        <v>302</v>
      </c>
      <c r="C10" s="40">
        <v>5</v>
      </c>
      <c r="D10" s="40">
        <v>2</v>
      </c>
      <c r="E10" s="40" t="s">
        <v>48</v>
      </c>
      <c r="F10" s="40">
        <v>10</v>
      </c>
      <c r="G10" s="40" t="s">
        <v>23</v>
      </c>
      <c r="H10" s="39" t="s">
        <v>49</v>
      </c>
      <c r="I10" s="50">
        <v>1</v>
      </c>
    </row>
    <row r="11" spans="1:9" s="33" customFormat="1" x14ac:dyDescent="0.25">
      <c r="A11" s="39" t="s">
        <v>50</v>
      </c>
      <c r="B11" s="40" t="s">
        <v>302</v>
      </c>
      <c r="C11" s="40">
        <v>7</v>
      </c>
      <c r="D11" s="40">
        <v>3</v>
      </c>
      <c r="E11" s="40" t="s">
        <v>51</v>
      </c>
      <c r="F11" s="40">
        <v>1800</v>
      </c>
      <c r="G11" s="40" t="s">
        <v>23</v>
      </c>
      <c r="H11" s="39" t="s">
        <v>52</v>
      </c>
      <c r="I11" s="50">
        <v>1</v>
      </c>
    </row>
    <row r="12" spans="1:9" s="33" customFormat="1" x14ac:dyDescent="0.25">
      <c r="A12" s="39" t="s">
        <v>53</v>
      </c>
      <c r="B12" s="40" t="s">
        <v>302</v>
      </c>
      <c r="C12" s="40">
        <v>4</v>
      </c>
      <c r="D12" s="40">
        <v>4</v>
      </c>
      <c r="E12" s="40" t="s">
        <v>54</v>
      </c>
      <c r="F12" s="40"/>
      <c r="G12" s="40"/>
      <c r="H12" s="39" t="s">
        <v>55</v>
      </c>
      <c r="I12" s="50">
        <v>1</v>
      </c>
    </row>
    <row r="13" spans="1:9" s="33" customFormat="1" x14ac:dyDescent="0.25">
      <c r="A13" s="39" t="s">
        <v>482</v>
      </c>
      <c r="B13" s="40" t="s">
        <v>302</v>
      </c>
      <c r="C13" s="40">
        <v>6</v>
      </c>
      <c r="D13" s="40">
        <v>5</v>
      </c>
      <c r="E13" s="40" t="s">
        <v>483</v>
      </c>
      <c r="F13" s="42">
        <v>3</v>
      </c>
      <c r="G13" s="40"/>
      <c r="H13" s="39"/>
      <c r="I13" s="50">
        <v>1</v>
      </c>
    </row>
    <row r="14" spans="1:9" x14ac:dyDescent="0.25">
      <c r="A14" s="36" t="s">
        <v>40</v>
      </c>
      <c r="B14" s="37" t="s">
        <v>303</v>
      </c>
      <c r="C14" s="37">
        <v>3</v>
      </c>
      <c r="D14" s="37">
        <v>0</v>
      </c>
      <c r="E14" s="37" t="s">
        <v>42</v>
      </c>
      <c r="F14" s="41" t="s">
        <v>262</v>
      </c>
      <c r="G14" s="37"/>
      <c r="H14" s="36"/>
      <c r="I14" s="38">
        <v>1</v>
      </c>
    </row>
    <row r="15" spans="1:9" x14ac:dyDescent="0.25">
      <c r="A15" s="36" t="s">
        <v>43</v>
      </c>
      <c r="B15" s="37" t="s">
        <v>303</v>
      </c>
      <c r="C15" s="37">
        <v>3</v>
      </c>
      <c r="D15" s="37">
        <v>1</v>
      </c>
      <c r="E15" s="37" t="s">
        <v>44</v>
      </c>
      <c r="F15" s="37" t="s">
        <v>45</v>
      </c>
      <c r="G15" s="37"/>
      <c r="H15" s="36" t="s">
        <v>46</v>
      </c>
      <c r="I15" s="38">
        <v>1</v>
      </c>
    </row>
    <row r="16" spans="1:9" x14ac:dyDescent="0.25">
      <c r="A16" s="36" t="s">
        <v>47</v>
      </c>
      <c r="B16" s="37" t="s">
        <v>303</v>
      </c>
      <c r="C16" s="37">
        <v>5</v>
      </c>
      <c r="D16" s="37">
        <v>2</v>
      </c>
      <c r="E16" s="37" t="s">
        <v>48</v>
      </c>
      <c r="F16" s="37">
        <v>10</v>
      </c>
      <c r="G16" s="37" t="s">
        <v>23</v>
      </c>
      <c r="H16" s="36" t="s">
        <v>49</v>
      </c>
      <c r="I16" s="38">
        <v>1</v>
      </c>
    </row>
    <row r="17" spans="1:9" x14ac:dyDescent="0.25">
      <c r="A17" s="36" t="s">
        <v>50</v>
      </c>
      <c r="B17" s="37" t="s">
        <v>303</v>
      </c>
      <c r="C17" s="37">
        <v>7</v>
      </c>
      <c r="D17" s="37">
        <v>3</v>
      </c>
      <c r="E17" s="37" t="s">
        <v>51</v>
      </c>
      <c r="F17" s="37">
        <v>1800</v>
      </c>
      <c r="G17" s="37" t="s">
        <v>23</v>
      </c>
      <c r="H17" s="36" t="s">
        <v>52</v>
      </c>
      <c r="I17" s="38">
        <v>1</v>
      </c>
    </row>
    <row r="18" spans="1:9" x14ac:dyDescent="0.25">
      <c r="A18" s="36" t="s">
        <v>53</v>
      </c>
      <c r="B18" s="37" t="s">
        <v>303</v>
      </c>
      <c r="C18" s="37">
        <v>4</v>
      </c>
      <c r="D18" s="37">
        <v>4</v>
      </c>
      <c r="E18" s="37" t="s">
        <v>54</v>
      </c>
      <c r="F18" s="37"/>
      <c r="G18" s="37"/>
      <c r="H18" s="36" t="s">
        <v>55</v>
      </c>
      <c r="I18" s="38">
        <v>1</v>
      </c>
    </row>
    <row r="19" spans="1:9" s="35" customFormat="1" x14ac:dyDescent="0.25">
      <c r="A19" s="36" t="s">
        <v>482</v>
      </c>
      <c r="B19" s="37" t="s">
        <v>41</v>
      </c>
      <c r="C19" s="37">
        <v>6</v>
      </c>
      <c r="D19" s="37">
        <v>5</v>
      </c>
      <c r="E19" s="37" t="s">
        <v>483</v>
      </c>
      <c r="F19" s="41">
        <v>3</v>
      </c>
      <c r="G19" s="37"/>
      <c r="H19" s="36"/>
      <c r="I19" s="38">
        <v>1</v>
      </c>
    </row>
    <row r="20" spans="1:9" x14ac:dyDescent="0.25">
      <c r="A20" s="39" t="s">
        <v>40</v>
      </c>
      <c r="B20" s="40" t="s">
        <v>439</v>
      </c>
      <c r="C20" s="40">
        <v>3</v>
      </c>
      <c r="D20" s="40">
        <v>0</v>
      </c>
      <c r="E20" s="40" t="s">
        <v>42</v>
      </c>
      <c r="F20" s="42" t="s">
        <v>262</v>
      </c>
      <c r="G20" s="40"/>
      <c r="H20" s="39"/>
      <c r="I20" s="50">
        <v>1</v>
      </c>
    </row>
    <row r="21" spans="1:9" x14ac:dyDescent="0.25">
      <c r="A21" s="39" t="s">
        <v>43</v>
      </c>
      <c r="B21" s="40" t="s">
        <v>439</v>
      </c>
      <c r="C21" s="40">
        <v>3</v>
      </c>
      <c r="D21" s="40">
        <v>1</v>
      </c>
      <c r="E21" s="40" t="s">
        <v>44</v>
      </c>
      <c r="F21" s="40" t="s">
        <v>45</v>
      </c>
      <c r="G21" s="40"/>
      <c r="H21" s="39" t="s">
        <v>46</v>
      </c>
      <c r="I21" s="50">
        <v>1</v>
      </c>
    </row>
    <row r="22" spans="1:9" x14ac:dyDescent="0.25">
      <c r="A22" s="39" t="s">
        <v>47</v>
      </c>
      <c r="B22" s="40" t="s">
        <v>439</v>
      </c>
      <c r="C22" s="40">
        <v>5</v>
      </c>
      <c r="D22" s="40">
        <v>2</v>
      </c>
      <c r="E22" s="40" t="s">
        <v>48</v>
      </c>
      <c r="F22" s="40">
        <v>10</v>
      </c>
      <c r="G22" s="40" t="s">
        <v>23</v>
      </c>
      <c r="H22" s="39" t="s">
        <v>49</v>
      </c>
      <c r="I22" s="50">
        <v>1</v>
      </c>
    </row>
    <row r="23" spans="1:9" x14ac:dyDescent="0.25">
      <c r="A23" s="39" t="s">
        <v>50</v>
      </c>
      <c r="B23" s="40" t="s">
        <v>439</v>
      </c>
      <c r="C23" s="40">
        <v>7</v>
      </c>
      <c r="D23" s="40">
        <v>3</v>
      </c>
      <c r="E23" s="40" t="s">
        <v>51</v>
      </c>
      <c r="F23" s="40">
        <v>1800</v>
      </c>
      <c r="G23" s="40" t="s">
        <v>23</v>
      </c>
      <c r="H23" s="39" t="s">
        <v>52</v>
      </c>
      <c r="I23" s="50">
        <v>1</v>
      </c>
    </row>
    <row r="24" spans="1:9" x14ac:dyDescent="0.25">
      <c r="A24" s="39" t="s">
        <v>53</v>
      </c>
      <c r="B24" s="40" t="s">
        <v>439</v>
      </c>
      <c r="C24" s="40">
        <v>4</v>
      </c>
      <c r="D24" s="40">
        <v>4</v>
      </c>
      <c r="E24" s="40" t="s">
        <v>54</v>
      </c>
      <c r="F24" s="40"/>
      <c r="G24" s="40"/>
      <c r="H24" s="39" t="s">
        <v>55</v>
      </c>
      <c r="I24" s="50">
        <v>1</v>
      </c>
    </row>
    <row r="25" spans="1:9" s="33" customFormat="1" x14ac:dyDescent="0.25">
      <c r="A25" s="39" t="s">
        <v>482</v>
      </c>
      <c r="B25" s="40" t="s">
        <v>302</v>
      </c>
      <c r="C25" s="40">
        <v>6</v>
      </c>
      <c r="D25" s="40">
        <v>5</v>
      </c>
      <c r="E25" s="40" t="s">
        <v>483</v>
      </c>
      <c r="F25" s="42">
        <v>3</v>
      </c>
      <c r="G25" s="40"/>
      <c r="H25" s="39"/>
      <c r="I25" s="50">
        <v>1</v>
      </c>
    </row>
    <row r="26" spans="1:9" x14ac:dyDescent="0.25">
      <c r="A26" s="36" t="s">
        <v>40</v>
      </c>
      <c r="B26" s="37" t="s">
        <v>440</v>
      </c>
      <c r="C26" s="37">
        <v>3</v>
      </c>
      <c r="D26" s="37">
        <v>0</v>
      </c>
      <c r="E26" s="37" t="s">
        <v>42</v>
      </c>
      <c r="F26" s="41" t="s">
        <v>262</v>
      </c>
      <c r="G26" s="37"/>
      <c r="H26" s="36"/>
      <c r="I26" s="38">
        <v>1</v>
      </c>
    </row>
    <row r="27" spans="1:9" x14ac:dyDescent="0.25">
      <c r="A27" s="36" t="s">
        <v>43</v>
      </c>
      <c r="B27" s="37" t="s">
        <v>440</v>
      </c>
      <c r="C27" s="37">
        <v>3</v>
      </c>
      <c r="D27" s="37">
        <v>1</v>
      </c>
      <c r="E27" s="37" t="s">
        <v>44</v>
      </c>
      <c r="F27" s="37" t="s">
        <v>45</v>
      </c>
      <c r="G27" s="37"/>
      <c r="H27" s="36" t="s">
        <v>46</v>
      </c>
      <c r="I27" s="38">
        <v>1</v>
      </c>
    </row>
    <row r="28" spans="1:9" x14ac:dyDescent="0.25">
      <c r="A28" s="36" t="s">
        <v>47</v>
      </c>
      <c r="B28" s="37" t="s">
        <v>440</v>
      </c>
      <c r="C28" s="37">
        <v>5</v>
      </c>
      <c r="D28" s="37">
        <v>2</v>
      </c>
      <c r="E28" s="37" t="s">
        <v>48</v>
      </c>
      <c r="F28" s="37">
        <v>10</v>
      </c>
      <c r="G28" s="37" t="s">
        <v>23</v>
      </c>
      <c r="H28" s="36" t="s">
        <v>49</v>
      </c>
      <c r="I28" s="38">
        <v>1</v>
      </c>
    </row>
    <row r="29" spans="1:9" x14ac:dyDescent="0.25">
      <c r="A29" s="36" t="s">
        <v>50</v>
      </c>
      <c r="B29" s="37" t="s">
        <v>440</v>
      </c>
      <c r="C29" s="37">
        <v>7</v>
      </c>
      <c r="D29" s="37">
        <v>3</v>
      </c>
      <c r="E29" s="37" t="s">
        <v>51</v>
      </c>
      <c r="F29" s="37">
        <v>1800</v>
      </c>
      <c r="G29" s="37" t="s">
        <v>23</v>
      </c>
      <c r="H29" s="36" t="s">
        <v>52</v>
      </c>
      <c r="I29" s="38">
        <v>1</v>
      </c>
    </row>
    <row r="30" spans="1:9" x14ac:dyDescent="0.25">
      <c r="A30" s="36" t="s">
        <v>53</v>
      </c>
      <c r="B30" s="37" t="s">
        <v>440</v>
      </c>
      <c r="C30" s="37">
        <v>4</v>
      </c>
      <c r="D30" s="37">
        <v>4</v>
      </c>
      <c r="E30" s="37" t="s">
        <v>54</v>
      </c>
      <c r="F30" s="37"/>
      <c r="G30" s="37"/>
      <c r="H30" s="36" t="s">
        <v>55</v>
      </c>
      <c r="I30" s="38">
        <v>1</v>
      </c>
    </row>
    <row r="31" spans="1:9" s="35" customFormat="1" x14ac:dyDescent="0.25">
      <c r="A31" s="36" t="s">
        <v>482</v>
      </c>
      <c r="B31" s="37" t="s">
        <v>41</v>
      </c>
      <c r="C31" s="37">
        <v>6</v>
      </c>
      <c r="D31" s="37">
        <v>5</v>
      </c>
      <c r="E31" s="37" t="s">
        <v>483</v>
      </c>
      <c r="F31" s="41">
        <v>3</v>
      </c>
      <c r="G31" s="37"/>
      <c r="H31" s="36"/>
      <c r="I31" s="38">
        <v>1</v>
      </c>
    </row>
  </sheetData>
  <dataValidations count="3">
    <dataValidation allowBlank="1" showInputMessage="1" showErrorMessage="1" errorTitle="Ошибка" error="Введите значение в формате чч:мм - чч:мм" promptTitle="Правило заполнения ячейки" prompt="Формат: часы:минуты - часы:минуты_x000a_Пример: 13:44 - 23:34" sqref="F12 F6 F18" xr:uid="{00000000-0002-0000-0300-000000000000}">
      <formula1>0</formula1>
      <formula2>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5 F11 F17" xr:uid="{00000000-0002-0000-0300-000001000000}">
      <formula1>240</formula1>
      <formula2>3600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4 F10 F16" xr:uid="{00000000-0002-0000-0300-000002000000}">
      <formula1>10</formula1>
      <formula2>60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Перечисления!$E$19:$E$20</xm:f>
          </x14:formula1>
          <x14:formula2>
            <xm:f>0</xm:f>
          </x14:formula2>
          <xm:sqref>F3 F9 F15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>
      <selection activeCell="A2" sqref="A2:E20"/>
    </sheetView>
  </sheetViews>
  <sheetFormatPr defaultRowHeight="15" x14ac:dyDescent="0.25"/>
  <cols>
    <col min="2" max="2" width="88.5703125" customWidth="1"/>
    <col min="3" max="3" width="25.28515625" style="32" customWidth="1"/>
    <col min="4" max="4" width="12.42578125" customWidth="1"/>
    <col min="5" max="5" width="10.7109375" customWidth="1"/>
  </cols>
  <sheetData>
    <row r="1" spans="1:5" x14ac:dyDescent="0.25">
      <c r="B1" t="s">
        <v>304</v>
      </c>
      <c r="C1" s="32" t="s">
        <v>1</v>
      </c>
      <c r="D1" t="s">
        <v>301</v>
      </c>
      <c r="E1" t="s">
        <v>273</v>
      </c>
    </row>
    <row r="2" spans="1:5" x14ac:dyDescent="0.25">
      <c r="A2" s="33">
        <v>1</v>
      </c>
      <c r="B2" s="33" t="s">
        <v>306</v>
      </c>
      <c r="C2" s="34" t="s">
        <v>41</v>
      </c>
      <c r="D2" s="33">
        <v>2</v>
      </c>
      <c r="E2" s="33">
        <v>1</v>
      </c>
    </row>
    <row r="3" spans="1:5" x14ac:dyDescent="0.25">
      <c r="A3" s="33">
        <v>2</v>
      </c>
      <c r="B3" s="33" t="s">
        <v>307</v>
      </c>
      <c r="C3" s="34" t="s">
        <v>308</v>
      </c>
      <c r="D3" s="33">
        <v>2</v>
      </c>
      <c r="E3" s="33">
        <v>1</v>
      </c>
    </row>
    <row r="4" spans="1:5" x14ac:dyDescent="0.25">
      <c r="A4">
        <v>3</v>
      </c>
      <c r="B4" t="s">
        <v>280</v>
      </c>
      <c r="C4" s="31" t="s">
        <v>279</v>
      </c>
      <c r="D4">
        <v>2</v>
      </c>
      <c r="E4">
        <v>1</v>
      </c>
    </row>
    <row r="5" spans="1:5" x14ac:dyDescent="0.25">
      <c r="A5">
        <v>4</v>
      </c>
      <c r="B5" t="s">
        <v>281</v>
      </c>
      <c r="C5" s="32" t="s">
        <v>269</v>
      </c>
      <c r="D5">
        <v>2</v>
      </c>
      <c r="E5">
        <v>1</v>
      </c>
    </row>
    <row r="6" spans="1:5" x14ac:dyDescent="0.25">
      <c r="A6">
        <v>5</v>
      </c>
      <c r="B6" t="s">
        <v>312</v>
      </c>
      <c r="C6" s="32" t="s">
        <v>316</v>
      </c>
      <c r="D6">
        <v>2</v>
      </c>
      <c r="E6">
        <v>0</v>
      </c>
    </row>
    <row r="7" spans="1:5" x14ac:dyDescent="0.25">
      <c r="A7">
        <v>6</v>
      </c>
      <c r="B7" t="s">
        <v>282</v>
      </c>
      <c r="C7" s="32" t="s">
        <v>124</v>
      </c>
      <c r="D7">
        <v>2</v>
      </c>
      <c r="E7">
        <v>0</v>
      </c>
    </row>
    <row r="8" spans="1:5" x14ac:dyDescent="0.25">
      <c r="A8">
        <v>7</v>
      </c>
      <c r="B8" t="s">
        <v>283</v>
      </c>
      <c r="C8" s="32" t="s">
        <v>124</v>
      </c>
      <c r="D8">
        <v>3</v>
      </c>
      <c r="E8">
        <v>0</v>
      </c>
    </row>
    <row r="9" spans="1:5" x14ac:dyDescent="0.25">
      <c r="A9">
        <v>8</v>
      </c>
      <c r="B9" t="s">
        <v>284</v>
      </c>
      <c r="C9" s="32" t="s">
        <v>134</v>
      </c>
      <c r="D9">
        <v>2</v>
      </c>
      <c r="E9">
        <v>0</v>
      </c>
    </row>
    <row r="10" spans="1:5" x14ac:dyDescent="0.25">
      <c r="A10">
        <v>9</v>
      </c>
      <c r="B10" t="s">
        <v>285</v>
      </c>
      <c r="C10" s="32" t="s">
        <v>134</v>
      </c>
      <c r="D10">
        <v>3</v>
      </c>
      <c r="E10">
        <v>0</v>
      </c>
    </row>
    <row r="11" spans="1:5" x14ac:dyDescent="0.25">
      <c r="A11">
        <v>10</v>
      </c>
      <c r="B11" t="s">
        <v>286</v>
      </c>
      <c r="C11" s="32" t="s">
        <v>144</v>
      </c>
      <c r="D11">
        <v>2</v>
      </c>
      <c r="E11">
        <v>0</v>
      </c>
    </row>
    <row r="12" spans="1:5" x14ac:dyDescent="0.25">
      <c r="A12">
        <v>11</v>
      </c>
      <c r="B12" t="s">
        <v>287</v>
      </c>
      <c r="C12" s="32" t="s">
        <v>144</v>
      </c>
      <c r="D12">
        <v>3</v>
      </c>
      <c r="E12">
        <v>0</v>
      </c>
    </row>
    <row r="13" spans="1:5" x14ac:dyDescent="0.25">
      <c r="A13">
        <v>12</v>
      </c>
      <c r="B13" t="s">
        <v>288</v>
      </c>
      <c r="C13" s="32" t="s">
        <v>154</v>
      </c>
      <c r="D13">
        <v>2</v>
      </c>
      <c r="E13">
        <v>0</v>
      </c>
    </row>
    <row r="14" spans="1:5" x14ac:dyDescent="0.25">
      <c r="A14">
        <v>13</v>
      </c>
      <c r="B14" t="s">
        <v>289</v>
      </c>
      <c r="C14" s="32" t="s">
        <v>154</v>
      </c>
      <c r="D14">
        <v>3</v>
      </c>
      <c r="E14">
        <v>0</v>
      </c>
    </row>
    <row r="15" spans="1:5" x14ac:dyDescent="0.25">
      <c r="A15">
        <v>14</v>
      </c>
      <c r="B15" t="s">
        <v>290</v>
      </c>
      <c r="C15" s="32" t="s">
        <v>296</v>
      </c>
      <c r="D15">
        <v>2</v>
      </c>
      <c r="E15">
        <v>1</v>
      </c>
    </row>
    <row r="16" spans="1:5" x14ac:dyDescent="0.25">
      <c r="A16">
        <v>15</v>
      </c>
      <c r="B16" t="s">
        <v>291</v>
      </c>
      <c r="C16" s="32" t="s">
        <v>57</v>
      </c>
      <c r="D16">
        <v>2</v>
      </c>
      <c r="E16">
        <v>1</v>
      </c>
    </row>
    <row r="17" spans="1:5" x14ac:dyDescent="0.25">
      <c r="A17">
        <v>16</v>
      </c>
      <c r="B17" t="s">
        <v>292</v>
      </c>
      <c r="C17" s="32" t="s">
        <v>297</v>
      </c>
      <c r="D17">
        <v>2</v>
      </c>
      <c r="E17">
        <v>0</v>
      </c>
    </row>
    <row r="18" spans="1:5" x14ac:dyDescent="0.25">
      <c r="A18">
        <v>17</v>
      </c>
      <c r="B18" t="s">
        <v>293</v>
      </c>
      <c r="C18" s="32" t="s">
        <v>298</v>
      </c>
      <c r="D18">
        <v>2</v>
      </c>
      <c r="E18">
        <v>0</v>
      </c>
    </row>
    <row r="19" spans="1:5" x14ac:dyDescent="0.25">
      <c r="A19">
        <v>18</v>
      </c>
      <c r="B19" t="s">
        <v>294</v>
      </c>
      <c r="C19" s="32" t="s">
        <v>299</v>
      </c>
      <c r="D19">
        <v>2</v>
      </c>
      <c r="E19">
        <v>0</v>
      </c>
    </row>
    <row r="20" spans="1:5" x14ac:dyDescent="0.25">
      <c r="A20">
        <v>19</v>
      </c>
      <c r="B20" t="s">
        <v>295</v>
      </c>
      <c r="C20" s="32" t="s">
        <v>300</v>
      </c>
      <c r="D20">
        <v>2</v>
      </c>
      <c r="E20">
        <v>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>
      <selection activeCell="B29" sqref="B29"/>
    </sheetView>
  </sheetViews>
  <sheetFormatPr defaultRowHeight="15" x14ac:dyDescent="0.25"/>
  <cols>
    <col min="2" max="2" width="95" customWidth="1"/>
    <col min="3" max="3" width="17" style="32" customWidth="1"/>
    <col min="5" max="5" width="8.85546875" customWidth="1"/>
  </cols>
  <sheetData>
    <row r="1" spans="1:5" x14ac:dyDescent="0.25">
      <c r="B1" t="s">
        <v>304</v>
      </c>
      <c r="C1" s="32" t="s">
        <v>1</v>
      </c>
      <c r="D1" t="s">
        <v>301</v>
      </c>
      <c r="E1" t="s">
        <v>273</v>
      </c>
    </row>
    <row r="2" spans="1:5" x14ac:dyDescent="0.25">
      <c r="A2" s="33">
        <v>1</v>
      </c>
      <c r="B2" s="33" t="s">
        <v>306</v>
      </c>
      <c r="C2" s="34" t="s">
        <v>302</v>
      </c>
      <c r="D2" s="33">
        <v>2</v>
      </c>
      <c r="E2" s="33">
        <v>1</v>
      </c>
    </row>
    <row r="3" spans="1:5" x14ac:dyDescent="0.25">
      <c r="A3" s="33">
        <v>2</v>
      </c>
      <c r="B3" s="33" t="s">
        <v>307</v>
      </c>
      <c r="C3" s="34" t="s">
        <v>310</v>
      </c>
      <c r="D3" s="33">
        <v>2</v>
      </c>
      <c r="E3" s="33">
        <v>1</v>
      </c>
    </row>
    <row r="4" spans="1:5" x14ac:dyDescent="0.25">
      <c r="A4">
        <v>3</v>
      </c>
      <c r="B4" t="s">
        <v>280</v>
      </c>
      <c r="C4" s="31" t="s">
        <v>279</v>
      </c>
      <c r="D4">
        <v>2</v>
      </c>
      <c r="E4">
        <v>1</v>
      </c>
    </row>
    <row r="5" spans="1:5" x14ac:dyDescent="0.25">
      <c r="A5">
        <v>4</v>
      </c>
      <c r="B5" t="s">
        <v>281</v>
      </c>
      <c r="C5" s="32" t="s">
        <v>269</v>
      </c>
      <c r="D5">
        <v>2</v>
      </c>
      <c r="E5">
        <v>1</v>
      </c>
    </row>
    <row r="6" spans="1:5" x14ac:dyDescent="0.25">
      <c r="A6">
        <v>5</v>
      </c>
      <c r="B6" t="s">
        <v>312</v>
      </c>
      <c r="C6" s="32" t="s">
        <v>316</v>
      </c>
      <c r="D6">
        <v>2</v>
      </c>
      <c r="E6">
        <v>0</v>
      </c>
    </row>
    <row r="7" spans="1:5" x14ac:dyDescent="0.25">
      <c r="A7">
        <v>6</v>
      </c>
      <c r="B7" t="s">
        <v>282</v>
      </c>
      <c r="C7" s="32" t="s">
        <v>124</v>
      </c>
      <c r="D7">
        <v>2</v>
      </c>
      <c r="E7">
        <v>1</v>
      </c>
    </row>
    <row r="8" spans="1:5" x14ac:dyDescent="0.25">
      <c r="A8">
        <v>7</v>
      </c>
      <c r="B8" t="s">
        <v>283</v>
      </c>
      <c r="C8" s="32" t="s">
        <v>124</v>
      </c>
      <c r="D8">
        <v>3</v>
      </c>
      <c r="E8">
        <v>1</v>
      </c>
    </row>
    <row r="9" spans="1:5" x14ac:dyDescent="0.25">
      <c r="A9">
        <v>8</v>
      </c>
      <c r="B9" t="s">
        <v>284</v>
      </c>
      <c r="C9" s="32" t="s">
        <v>134</v>
      </c>
      <c r="D9">
        <v>2</v>
      </c>
      <c r="E9">
        <v>1</v>
      </c>
    </row>
    <row r="10" spans="1:5" x14ac:dyDescent="0.25">
      <c r="A10">
        <v>9</v>
      </c>
      <c r="B10" t="s">
        <v>285</v>
      </c>
      <c r="C10" s="32" t="s">
        <v>134</v>
      </c>
      <c r="D10">
        <v>3</v>
      </c>
      <c r="E10">
        <v>1</v>
      </c>
    </row>
    <row r="11" spans="1:5" x14ac:dyDescent="0.25">
      <c r="A11">
        <v>10</v>
      </c>
      <c r="B11" t="s">
        <v>286</v>
      </c>
      <c r="C11" s="32" t="s">
        <v>144</v>
      </c>
      <c r="D11">
        <v>2</v>
      </c>
      <c r="E11">
        <v>1</v>
      </c>
    </row>
    <row r="12" spans="1:5" x14ac:dyDescent="0.25">
      <c r="A12">
        <v>11</v>
      </c>
      <c r="B12" t="s">
        <v>287</v>
      </c>
      <c r="C12" s="32" t="s">
        <v>144</v>
      </c>
      <c r="D12">
        <v>3</v>
      </c>
      <c r="E12">
        <v>1</v>
      </c>
    </row>
    <row r="13" spans="1:5" x14ac:dyDescent="0.25">
      <c r="A13">
        <v>12</v>
      </c>
      <c r="B13" t="s">
        <v>288</v>
      </c>
      <c r="C13" s="32" t="s">
        <v>154</v>
      </c>
      <c r="D13">
        <v>2</v>
      </c>
      <c r="E13">
        <v>1</v>
      </c>
    </row>
    <row r="14" spans="1:5" x14ac:dyDescent="0.25">
      <c r="A14">
        <v>13</v>
      </c>
      <c r="B14" t="s">
        <v>289</v>
      </c>
      <c r="C14" s="32" t="s">
        <v>154</v>
      </c>
      <c r="D14">
        <v>3</v>
      </c>
      <c r="E14">
        <v>1</v>
      </c>
    </row>
    <row r="15" spans="1:5" x14ac:dyDescent="0.25">
      <c r="A15">
        <v>14</v>
      </c>
      <c r="B15" t="s">
        <v>290</v>
      </c>
      <c r="C15" s="32" t="s">
        <v>296</v>
      </c>
      <c r="D15">
        <v>2</v>
      </c>
      <c r="E15">
        <v>0</v>
      </c>
    </row>
    <row r="16" spans="1:5" x14ac:dyDescent="0.25">
      <c r="A16">
        <v>15</v>
      </c>
      <c r="B16" t="s">
        <v>291</v>
      </c>
      <c r="C16" s="32" t="s">
        <v>57</v>
      </c>
      <c r="D16">
        <v>2</v>
      </c>
      <c r="E16">
        <v>0</v>
      </c>
    </row>
    <row r="17" spans="1:5" x14ac:dyDescent="0.25">
      <c r="A17">
        <v>16</v>
      </c>
      <c r="B17" t="s">
        <v>292</v>
      </c>
      <c r="C17" s="32" t="s">
        <v>297</v>
      </c>
      <c r="D17">
        <v>2</v>
      </c>
      <c r="E17">
        <v>0</v>
      </c>
    </row>
    <row r="18" spans="1:5" x14ac:dyDescent="0.25">
      <c r="A18">
        <v>17</v>
      </c>
      <c r="B18" t="s">
        <v>293</v>
      </c>
      <c r="C18" s="32" t="s">
        <v>298</v>
      </c>
      <c r="D18">
        <v>2</v>
      </c>
      <c r="E18">
        <v>0</v>
      </c>
    </row>
    <row r="19" spans="1:5" x14ac:dyDescent="0.25">
      <c r="A19">
        <v>18</v>
      </c>
      <c r="B19" t="s">
        <v>294</v>
      </c>
      <c r="C19" s="32" t="s">
        <v>299</v>
      </c>
      <c r="D19">
        <v>2</v>
      </c>
      <c r="E19">
        <v>0</v>
      </c>
    </row>
    <row r="20" spans="1:5" x14ac:dyDescent="0.25">
      <c r="A20">
        <v>19</v>
      </c>
      <c r="B20" t="s">
        <v>295</v>
      </c>
      <c r="C20" s="32" t="s">
        <v>300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workbookViewId="0">
      <selection activeCell="B24" sqref="B24"/>
    </sheetView>
  </sheetViews>
  <sheetFormatPr defaultRowHeight="15" x14ac:dyDescent="0.25"/>
  <cols>
    <col min="2" max="2" width="95" customWidth="1"/>
    <col min="3" max="3" width="17" style="32" customWidth="1"/>
    <col min="5" max="5" width="8.85546875" customWidth="1"/>
  </cols>
  <sheetData>
    <row r="1" spans="1:5" x14ac:dyDescent="0.25">
      <c r="B1" t="s">
        <v>304</v>
      </c>
      <c r="C1" s="32" t="s">
        <v>1</v>
      </c>
      <c r="D1" t="s">
        <v>301</v>
      </c>
      <c r="E1" t="s">
        <v>273</v>
      </c>
    </row>
    <row r="2" spans="1:5" x14ac:dyDescent="0.25">
      <c r="A2" s="33">
        <v>1</v>
      </c>
      <c r="B2" s="33" t="s">
        <v>306</v>
      </c>
      <c r="C2" s="34" t="s">
        <v>303</v>
      </c>
      <c r="D2" s="33">
        <v>2</v>
      </c>
      <c r="E2" s="33">
        <v>1</v>
      </c>
    </row>
    <row r="3" spans="1:5" x14ac:dyDescent="0.25">
      <c r="A3" s="33">
        <v>2</v>
      </c>
      <c r="B3" s="33" t="s">
        <v>307</v>
      </c>
      <c r="C3" s="34" t="s">
        <v>309</v>
      </c>
      <c r="D3" s="33">
        <v>2</v>
      </c>
      <c r="E3" s="33">
        <v>1</v>
      </c>
    </row>
    <row r="4" spans="1:5" x14ac:dyDescent="0.25">
      <c r="A4">
        <v>3</v>
      </c>
      <c r="B4" t="s">
        <v>280</v>
      </c>
      <c r="C4" s="31" t="s">
        <v>279</v>
      </c>
      <c r="D4">
        <v>2</v>
      </c>
      <c r="E4">
        <v>1</v>
      </c>
    </row>
    <row r="5" spans="1:5" x14ac:dyDescent="0.25">
      <c r="A5">
        <v>4</v>
      </c>
      <c r="B5" t="s">
        <v>281</v>
      </c>
      <c r="C5" s="32" t="s">
        <v>269</v>
      </c>
      <c r="D5">
        <v>2</v>
      </c>
      <c r="E5">
        <v>1</v>
      </c>
    </row>
    <row r="6" spans="1:5" x14ac:dyDescent="0.25">
      <c r="A6">
        <v>5</v>
      </c>
      <c r="B6" t="s">
        <v>312</v>
      </c>
      <c r="C6" s="32" t="s">
        <v>316</v>
      </c>
      <c r="D6">
        <v>2</v>
      </c>
      <c r="E6">
        <v>0</v>
      </c>
    </row>
    <row r="7" spans="1:5" x14ac:dyDescent="0.25">
      <c r="A7">
        <v>6</v>
      </c>
      <c r="B7" t="s">
        <v>282</v>
      </c>
      <c r="C7" s="32" t="s">
        <v>124</v>
      </c>
      <c r="D7">
        <v>2</v>
      </c>
      <c r="E7">
        <v>0</v>
      </c>
    </row>
    <row r="8" spans="1:5" x14ac:dyDescent="0.25">
      <c r="A8">
        <v>7</v>
      </c>
      <c r="B8" t="s">
        <v>283</v>
      </c>
      <c r="C8" s="32" t="s">
        <v>124</v>
      </c>
      <c r="D8">
        <v>3</v>
      </c>
      <c r="E8">
        <v>0</v>
      </c>
    </row>
    <row r="9" spans="1:5" x14ac:dyDescent="0.25">
      <c r="A9">
        <v>8</v>
      </c>
      <c r="B9" t="s">
        <v>284</v>
      </c>
      <c r="C9" s="32" t="s">
        <v>134</v>
      </c>
      <c r="D9">
        <v>2</v>
      </c>
      <c r="E9">
        <v>0</v>
      </c>
    </row>
    <row r="10" spans="1:5" x14ac:dyDescent="0.25">
      <c r="A10">
        <v>9</v>
      </c>
      <c r="B10" t="s">
        <v>285</v>
      </c>
      <c r="C10" s="32" t="s">
        <v>134</v>
      </c>
      <c r="D10">
        <v>3</v>
      </c>
      <c r="E10">
        <v>0</v>
      </c>
    </row>
    <row r="11" spans="1:5" x14ac:dyDescent="0.25">
      <c r="A11">
        <v>10</v>
      </c>
      <c r="B11" t="s">
        <v>286</v>
      </c>
      <c r="C11" s="32" t="s">
        <v>144</v>
      </c>
      <c r="D11">
        <v>2</v>
      </c>
      <c r="E11">
        <v>0</v>
      </c>
    </row>
    <row r="12" spans="1:5" x14ac:dyDescent="0.25">
      <c r="A12">
        <v>11</v>
      </c>
      <c r="B12" t="s">
        <v>287</v>
      </c>
      <c r="C12" s="32" t="s">
        <v>144</v>
      </c>
      <c r="D12">
        <v>3</v>
      </c>
      <c r="E12">
        <v>0</v>
      </c>
    </row>
    <row r="13" spans="1:5" x14ac:dyDescent="0.25">
      <c r="A13">
        <v>12</v>
      </c>
      <c r="B13" t="s">
        <v>288</v>
      </c>
      <c r="C13" s="32" t="s">
        <v>154</v>
      </c>
      <c r="D13">
        <v>2</v>
      </c>
      <c r="E13">
        <v>0</v>
      </c>
    </row>
    <row r="14" spans="1:5" x14ac:dyDescent="0.25">
      <c r="A14">
        <v>13</v>
      </c>
      <c r="B14" t="s">
        <v>289</v>
      </c>
      <c r="C14" s="32" t="s">
        <v>154</v>
      </c>
      <c r="D14">
        <v>3</v>
      </c>
      <c r="E14">
        <v>0</v>
      </c>
    </row>
    <row r="15" spans="1:5" x14ac:dyDescent="0.25">
      <c r="A15">
        <v>14</v>
      </c>
      <c r="B15" t="s">
        <v>290</v>
      </c>
      <c r="C15" s="32" t="s">
        <v>296</v>
      </c>
      <c r="D15">
        <v>2</v>
      </c>
      <c r="E15">
        <v>1</v>
      </c>
    </row>
    <row r="16" spans="1:5" x14ac:dyDescent="0.25">
      <c r="A16">
        <v>15</v>
      </c>
      <c r="B16" t="s">
        <v>291</v>
      </c>
      <c r="C16" s="32" t="s">
        <v>57</v>
      </c>
      <c r="D16">
        <v>2</v>
      </c>
      <c r="E16">
        <v>1</v>
      </c>
    </row>
    <row r="17" spans="1:5" x14ac:dyDescent="0.25">
      <c r="A17">
        <v>16</v>
      </c>
      <c r="B17" t="s">
        <v>292</v>
      </c>
      <c r="C17" s="32" t="s">
        <v>297</v>
      </c>
      <c r="D17">
        <v>2</v>
      </c>
      <c r="E17">
        <v>1</v>
      </c>
    </row>
    <row r="18" spans="1:5" x14ac:dyDescent="0.25">
      <c r="A18">
        <v>17</v>
      </c>
      <c r="B18" t="s">
        <v>293</v>
      </c>
      <c r="C18" s="32" t="s">
        <v>298</v>
      </c>
      <c r="D18">
        <v>2</v>
      </c>
      <c r="E18">
        <v>1</v>
      </c>
    </row>
    <row r="19" spans="1:5" x14ac:dyDescent="0.25">
      <c r="A19">
        <v>18</v>
      </c>
      <c r="B19" t="s">
        <v>294</v>
      </c>
      <c r="C19" s="32" t="s">
        <v>299</v>
      </c>
      <c r="D19">
        <v>2</v>
      </c>
      <c r="E19">
        <v>1</v>
      </c>
    </row>
    <row r="20" spans="1:5" x14ac:dyDescent="0.25">
      <c r="A20">
        <v>19</v>
      </c>
      <c r="B20" t="s">
        <v>295</v>
      </c>
      <c r="C20" s="32" t="s">
        <v>300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2EA3-6E8B-4113-AF4F-5BC24596FE38}">
  <dimension ref="A1:F3"/>
  <sheetViews>
    <sheetView workbookViewId="0">
      <selection activeCell="E3" sqref="E3"/>
    </sheetView>
  </sheetViews>
  <sheetFormatPr defaultRowHeight="15" x14ac:dyDescent="0.25"/>
  <cols>
    <col min="2" max="2" width="49.28515625" customWidth="1"/>
    <col min="3" max="3" width="15" bestFit="1" customWidth="1"/>
    <col min="5" max="5" width="11.7109375" customWidth="1"/>
    <col min="6" max="6" width="6.85546875" bestFit="1" customWidth="1"/>
  </cols>
  <sheetData>
    <row r="1" spans="1:6" x14ac:dyDescent="0.25">
      <c r="B1" t="s">
        <v>304</v>
      </c>
      <c r="C1" s="32" t="s">
        <v>1</v>
      </c>
      <c r="D1" t="s">
        <v>301</v>
      </c>
      <c r="E1" t="s">
        <v>441</v>
      </c>
      <c r="F1" t="s">
        <v>273</v>
      </c>
    </row>
    <row r="2" spans="1:6" x14ac:dyDescent="0.25">
      <c r="A2" s="33">
        <v>1</v>
      </c>
      <c r="B2" s="33" t="s">
        <v>280</v>
      </c>
      <c r="C2" s="34" t="s">
        <v>279</v>
      </c>
      <c r="D2" s="33">
        <v>2</v>
      </c>
      <c r="E2" s="33"/>
      <c r="F2" s="33">
        <v>1</v>
      </c>
    </row>
    <row r="3" spans="1:6" x14ac:dyDescent="0.25">
      <c r="A3" s="33">
        <v>2</v>
      </c>
      <c r="B3" s="33" t="s">
        <v>442</v>
      </c>
      <c r="C3" s="34" t="s">
        <v>443</v>
      </c>
      <c r="D3" s="33">
        <v>2</v>
      </c>
      <c r="E3" s="60">
        <v>32776</v>
      </c>
      <c r="F3" s="3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49A3D-5128-481E-9C56-2912652FD69A}">
  <dimension ref="A1:F3"/>
  <sheetViews>
    <sheetView workbookViewId="0">
      <selection activeCell="H9" sqref="H9"/>
    </sheetView>
  </sheetViews>
  <sheetFormatPr defaultRowHeight="15" x14ac:dyDescent="0.25"/>
  <cols>
    <col min="2" max="2" width="37.140625" bestFit="1" customWidth="1"/>
    <col min="3" max="3" width="12.85546875" bestFit="1" customWidth="1"/>
    <col min="5" max="5" width="10.42578125" bestFit="1" customWidth="1"/>
  </cols>
  <sheetData>
    <row r="1" spans="1:6" x14ac:dyDescent="0.25">
      <c r="B1" t="s">
        <v>304</v>
      </c>
      <c r="C1" s="32" t="s">
        <v>1</v>
      </c>
      <c r="D1" t="s">
        <v>301</v>
      </c>
      <c r="E1" t="s">
        <v>441</v>
      </c>
      <c r="F1" t="s">
        <v>273</v>
      </c>
    </row>
    <row r="2" spans="1:6" x14ac:dyDescent="0.25">
      <c r="A2" s="33">
        <v>1</v>
      </c>
      <c r="B2" s="33" t="s">
        <v>280</v>
      </c>
      <c r="C2" s="34" t="s">
        <v>279</v>
      </c>
      <c r="D2" s="33">
        <v>2</v>
      </c>
      <c r="E2" s="33"/>
      <c r="F2" s="33">
        <v>1</v>
      </c>
    </row>
    <row r="3" spans="1:6" x14ac:dyDescent="0.25">
      <c r="A3" s="33">
        <v>2</v>
      </c>
      <c r="B3" s="33" t="s">
        <v>444</v>
      </c>
      <c r="C3" s="34" t="s">
        <v>445</v>
      </c>
      <c r="D3" s="33">
        <v>2</v>
      </c>
      <c r="E3" s="60">
        <v>36867</v>
      </c>
      <c r="F3" s="33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>
      <selection activeCell="P15" sqref="P15"/>
    </sheetView>
  </sheetViews>
  <sheetFormatPr defaultRowHeight="15" x14ac:dyDescent="0.25"/>
  <cols>
    <col min="1" max="1" width="10.85546875" bestFit="1" customWidth="1"/>
    <col min="2" max="2" width="7.5703125" bestFit="1" customWidth="1"/>
    <col min="3" max="3" width="14.140625" bestFit="1" customWidth="1"/>
  </cols>
  <sheetData>
    <row r="1" spans="1:3" x14ac:dyDescent="0.25">
      <c r="A1" s="11" t="s">
        <v>250</v>
      </c>
      <c r="B1" s="11" t="s">
        <v>258</v>
      </c>
      <c r="C1" s="11" t="s">
        <v>249</v>
      </c>
    </row>
    <row r="2" spans="1:3" x14ac:dyDescent="0.25">
      <c r="A2" s="11">
        <v>1</v>
      </c>
      <c r="B2" s="23">
        <v>0</v>
      </c>
      <c r="C2" s="11">
        <v>2</v>
      </c>
    </row>
    <row r="3" spans="1:3" x14ac:dyDescent="0.25">
      <c r="A3" s="11">
        <v>1</v>
      </c>
      <c r="B3" s="23">
        <v>0.29166666666666669</v>
      </c>
      <c r="C3" s="11">
        <v>1</v>
      </c>
    </row>
    <row r="4" spans="1:3" x14ac:dyDescent="0.25">
      <c r="A4" s="11">
        <v>1</v>
      </c>
      <c r="B4" s="23">
        <v>0.95833333333333337</v>
      </c>
      <c r="C4" s="11">
        <v>2</v>
      </c>
    </row>
    <row r="5" spans="1:3" x14ac:dyDescent="0.25">
      <c r="A5" s="11"/>
      <c r="B5" s="23"/>
      <c r="C5" s="11"/>
    </row>
    <row r="6" spans="1:3" x14ac:dyDescent="0.25">
      <c r="A6" s="11"/>
      <c r="B6" s="23"/>
      <c r="C6" s="11"/>
    </row>
    <row r="7" spans="1:3" x14ac:dyDescent="0.25">
      <c r="A7" s="11"/>
      <c r="B7" s="23"/>
      <c r="C7" s="1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"/>
  <sheetViews>
    <sheetView workbookViewId="0">
      <selection activeCell="B3" sqref="B3"/>
    </sheetView>
  </sheetViews>
  <sheetFormatPr defaultRowHeight="15" x14ac:dyDescent="0.25"/>
  <cols>
    <col min="1" max="1" width="10.140625" customWidth="1"/>
  </cols>
  <sheetData>
    <row r="1" spans="1:8" x14ac:dyDescent="0.25">
      <c r="A1" t="s">
        <v>251</v>
      </c>
      <c r="B1" t="s">
        <v>252</v>
      </c>
      <c r="C1" t="s">
        <v>22</v>
      </c>
      <c r="D1" t="s">
        <v>253</v>
      </c>
      <c r="E1" t="s">
        <v>254</v>
      </c>
      <c r="F1" t="s">
        <v>255</v>
      </c>
      <c r="G1" t="s">
        <v>256</v>
      </c>
      <c r="H1" t="s">
        <v>257</v>
      </c>
    </row>
    <row r="2" spans="1:8" x14ac:dyDescent="0.25">
      <c r="A2" t="s">
        <v>264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</sheetData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>
      <selection activeCell="C3" sqref="C3"/>
    </sheetView>
  </sheetViews>
  <sheetFormatPr defaultRowHeight="15" x14ac:dyDescent="0.25"/>
  <cols>
    <col min="1" max="1" width="9.5703125" bestFit="1" customWidth="1"/>
    <col min="2" max="2" width="15.140625" customWidth="1"/>
    <col min="3" max="3" width="22.7109375" bestFit="1" customWidth="1"/>
  </cols>
  <sheetData>
    <row r="1" spans="1:3" x14ac:dyDescent="0.25">
      <c r="A1" t="s">
        <v>251</v>
      </c>
      <c r="B1" t="s">
        <v>258</v>
      </c>
      <c r="C1" t="s">
        <v>259</v>
      </c>
    </row>
    <row r="2" spans="1:3" x14ac:dyDescent="0.25">
      <c r="A2" t="s">
        <v>264</v>
      </c>
      <c r="B2" s="22" t="s">
        <v>260</v>
      </c>
      <c r="C2" t="s">
        <v>264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3"/>
  <sheetViews>
    <sheetView zoomScale="85" zoomScaleNormal="85" workbookViewId="0">
      <selection activeCell="B32" sqref="B32"/>
    </sheetView>
  </sheetViews>
  <sheetFormatPr defaultColWidth="8.7109375" defaultRowHeight="15" x14ac:dyDescent="0.25"/>
  <cols>
    <col min="1" max="1" width="44.42578125" customWidth="1"/>
    <col min="2" max="2" width="9.28515625" customWidth="1"/>
    <col min="4" max="4" width="47.42578125" customWidth="1"/>
    <col min="5" max="5" width="8.85546875" customWidth="1"/>
    <col min="9" max="9" width="54.5703125" customWidth="1"/>
  </cols>
  <sheetData>
    <row r="1" spans="1:6" x14ac:dyDescent="0.25">
      <c r="A1">
        <v>30</v>
      </c>
    </row>
    <row r="2" spans="1:6" x14ac:dyDescent="0.25">
      <c r="A2">
        <v>70</v>
      </c>
    </row>
    <row r="3" spans="1:6" ht="17.25" customHeight="1" x14ac:dyDescent="0.25">
      <c r="A3" s="66" t="s">
        <v>109</v>
      </c>
      <c r="B3" s="10">
        <v>1</v>
      </c>
      <c r="C3" s="11"/>
      <c r="D3" s="66" t="s">
        <v>110</v>
      </c>
      <c r="E3" s="10">
        <v>1</v>
      </c>
      <c r="F3" s="11"/>
    </row>
    <row r="4" spans="1:6" ht="17.25" x14ac:dyDescent="0.25">
      <c r="A4" s="66"/>
      <c r="B4" s="10">
        <v>2</v>
      </c>
      <c r="C4" s="11"/>
      <c r="D4" s="66"/>
      <c r="E4" s="10">
        <v>2</v>
      </c>
      <c r="F4" s="11"/>
    </row>
    <row r="5" spans="1:6" ht="17.25" x14ac:dyDescent="0.25">
      <c r="A5" s="66"/>
      <c r="B5" s="10">
        <v>3</v>
      </c>
      <c r="C5" s="11"/>
      <c r="D5" s="66"/>
      <c r="E5" s="10">
        <v>3</v>
      </c>
      <c r="F5" s="11"/>
    </row>
    <row r="6" spans="1:6" ht="17.25" x14ac:dyDescent="0.25">
      <c r="A6" s="66"/>
      <c r="B6" s="10">
        <v>5</v>
      </c>
      <c r="C6" s="11"/>
      <c r="D6" s="66"/>
      <c r="E6" s="10">
        <v>5</v>
      </c>
      <c r="F6" s="11"/>
    </row>
    <row r="7" spans="1:6" ht="17.25" x14ac:dyDescent="0.25">
      <c r="A7" s="66"/>
      <c r="B7" s="10">
        <v>10</v>
      </c>
      <c r="C7" s="11"/>
      <c r="D7" s="66"/>
      <c r="E7" s="10">
        <v>10</v>
      </c>
      <c r="F7" s="11"/>
    </row>
    <row r="8" spans="1:6" ht="17.25" x14ac:dyDescent="0.25">
      <c r="A8" s="66"/>
      <c r="B8" s="10">
        <v>15</v>
      </c>
      <c r="C8" s="11"/>
      <c r="D8" s="66"/>
      <c r="E8" s="10">
        <v>15</v>
      </c>
      <c r="F8" s="11"/>
    </row>
    <row r="9" spans="1:6" ht="17.25" x14ac:dyDescent="0.25">
      <c r="A9" s="66"/>
      <c r="B9" s="10">
        <v>20</v>
      </c>
      <c r="C9" s="11"/>
      <c r="D9" s="66"/>
      <c r="E9" s="10">
        <v>20</v>
      </c>
      <c r="F9" s="11"/>
    </row>
    <row r="10" spans="1:6" ht="17.25" x14ac:dyDescent="0.25">
      <c r="A10" s="66"/>
      <c r="B10" s="10">
        <v>30</v>
      </c>
      <c r="C10" s="11"/>
      <c r="D10" s="66"/>
      <c r="E10" s="10">
        <v>30</v>
      </c>
      <c r="F10" s="11"/>
    </row>
    <row r="11" spans="1:6" ht="17.25" x14ac:dyDescent="0.25">
      <c r="A11" s="66"/>
      <c r="B11" s="10">
        <v>60</v>
      </c>
      <c r="C11" s="11"/>
      <c r="D11" s="66"/>
      <c r="E11" s="10">
        <v>60</v>
      </c>
      <c r="F11" s="11"/>
    </row>
    <row r="12" spans="1:6" x14ac:dyDescent="0.25">
      <c r="A12" s="11"/>
      <c r="B12" s="11"/>
      <c r="C12" s="11"/>
      <c r="D12" s="11"/>
      <c r="E12" s="11"/>
      <c r="F12" s="11"/>
    </row>
    <row r="13" spans="1:6" ht="17.25" customHeight="1" x14ac:dyDescent="0.25">
      <c r="A13" s="66" t="s">
        <v>20</v>
      </c>
      <c r="B13" s="10">
        <v>0</v>
      </c>
      <c r="C13" s="11"/>
      <c r="D13" s="66" t="s">
        <v>25</v>
      </c>
      <c r="E13" s="10">
        <v>0</v>
      </c>
      <c r="F13" s="11"/>
    </row>
    <row r="14" spans="1:6" ht="43.5" customHeight="1" x14ac:dyDescent="0.25">
      <c r="A14" s="66"/>
      <c r="B14" s="10">
        <v>1</v>
      </c>
      <c r="C14" s="11"/>
      <c r="D14" s="66"/>
      <c r="E14" s="10">
        <v>1</v>
      </c>
      <c r="F14" s="11"/>
    </row>
    <row r="15" spans="1:6" ht="15" customHeight="1" x14ac:dyDescent="0.25">
      <c r="A15" s="66"/>
      <c r="B15" s="10">
        <v>2</v>
      </c>
      <c r="C15" s="11"/>
      <c r="D15" s="12"/>
      <c r="E15" s="11"/>
      <c r="F15" s="11"/>
    </row>
    <row r="16" spans="1:6" ht="15" customHeight="1" x14ac:dyDescent="0.25">
      <c r="A16" s="66"/>
      <c r="B16" s="10">
        <v>3</v>
      </c>
      <c r="C16" s="11"/>
      <c r="D16" s="66" t="s">
        <v>32</v>
      </c>
      <c r="E16" s="10" t="s">
        <v>34</v>
      </c>
      <c r="F16" s="11"/>
    </row>
    <row r="17" spans="1:6" ht="15" customHeight="1" x14ac:dyDescent="0.25">
      <c r="A17" s="66"/>
      <c r="B17" s="10">
        <v>4</v>
      </c>
      <c r="C17" s="11"/>
      <c r="D17" s="66"/>
      <c r="E17" s="10" t="s">
        <v>111</v>
      </c>
      <c r="F17" s="11"/>
    </row>
    <row r="18" spans="1:6" ht="15" customHeight="1" x14ac:dyDescent="0.25">
      <c r="A18" s="66"/>
      <c r="B18" s="10">
        <v>5</v>
      </c>
      <c r="C18" s="11"/>
      <c r="D18" s="12"/>
      <c r="E18" s="11"/>
      <c r="F18" s="11"/>
    </row>
    <row r="19" spans="1:6" ht="15" customHeight="1" x14ac:dyDescent="0.25">
      <c r="A19" s="66"/>
      <c r="B19" s="10">
        <v>6</v>
      </c>
      <c r="C19" s="11"/>
      <c r="D19" s="66" t="s">
        <v>43</v>
      </c>
      <c r="E19" s="10" t="s">
        <v>45</v>
      </c>
      <c r="F19" s="11"/>
    </row>
    <row r="20" spans="1:6" ht="36" customHeight="1" x14ac:dyDescent="0.25">
      <c r="A20" s="12"/>
      <c r="B20" s="11"/>
      <c r="C20" s="11"/>
      <c r="D20" s="66"/>
      <c r="E20" s="10" t="s">
        <v>112</v>
      </c>
      <c r="F20" s="11"/>
    </row>
    <row r="21" spans="1:6" ht="15.75" customHeight="1" x14ac:dyDescent="0.25">
      <c r="A21" s="66" t="s">
        <v>88</v>
      </c>
      <c r="B21" s="10">
        <v>2</v>
      </c>
      <c r="C21" s="11"/>
      <c r="D21" s="11"/>
      <c r="E21" s="11"/>
      <c r="F21" s="11"/>
    </row>
    <row r="22" spans="1:6" ht="15" customHeight="1" x14ac:dyDescent="0.25">
      <c r="A22" s="66"/>
      <c r="B22" s="10">
        <v>3</v>
      </c>
      <c r="C22" s="11"/>
      <c r="D22" s="66" t="s">
        <v>97</v>
      </c>
      <c r="E22" s="10">
        <v>0</v>
      </c>
      <c r="F22" s="11"/>
    </row>
    <row r="23" spans="1:6" ht="15.75" customHeight="1" x14ac:dyDescent="0.25">
      <c r="A23" s="66"/>
      <c r="B23" s="10">
        <v>4</v>
      </c>
      <c r="C23" s="11"/>
      <c r="D23" s="66"/>
      <c r="E23" s="10">
        <v>1</v>
      </c>
      <c r="F23" s="11"/>
    </row>
    <row r="24" spans="1:6" ht="15" customHeight="1" x14ac:dyDescent="0.25">
      <c r="A24" s="66"/>
      <c r="B24" s="10">
        <v>5</v>
      </c>
      <c r="C24" s="11"/>
      <c r="D24" s="66"/>
      <c r="E24" s="10">
        <v>2</v>
      </c>
      <c r="F24" s="11"/>
    </row>
    <row r="25" spans="1:6" ht="15.75" customHeight="1" x14ac:dyDescent="0.25">
      <c r="A25" s="66"/>
      <c r="B25" s="10">
        <v>6</v>
      </c>
      <c r="C25" s="11"/>
      <c r="D25" s="66"/>
      <c r="E25" s="10">
        <v>4</v>
      </c>
      <c r="F25" s="11"/>
    </row>
    <row r="26" spans="1:6" ht="15" customHeight="1" x14ac:dyDescent="0.25">
      <c r="A26" s="66"/>
      <c r="B26" s="10">
        <v>7</v>
      </c>
      <c r="C26" s="11"/>
      <c r="D26" s="66"/>
      <c r="E26" s="10">
        <v>5</v>
      </c>
      <c r="F26" s="11"/>
    </row>
    <row r="27" spans="1:6" ht="17.25" customHeight="1" x14ac:dyDescent="0.25">
      <c r="A27" s="11"/>
      <c r="B27" s="11"/>
      <c r="C27" s="11"/>
      <c r="D27" s="66"/>
      <c r="E27" s="10">
        <v>6</v>
      </c>
      <c r="F27" s="11"/>
    </row>
    <row r="28" spans="1:6" ht="15" customHeight="1" x14ac:dyDescent="0.25">
      <c r="A28" s="66" t="s">
        <v>104</v>
      </c>
      <c r="B28" s="10">
        <v>300</v>
      </c>
      <c r="C28" s="11"/>
      <c r="D28" s="11"/>
      <c r="E28" s="11"/>
      <c r="F28" s="11"/>
    </row>
    <row r="29" spans="1:6" ht="15" customHeight="1" x14ac:dyDescent="0.25">
      <c r="A29" s="66"/>
      <c r="B29" s="10">
        <v>600</v>
      </c>
      <c r="C29" s="11"/>
      <c r="D29" s="66" t="s">
        <v>106</v>
      </c>
      <c r="E29" s="10">
        <v>300</v>
      </c>
      <c r="F29" s="11"/>
    </row>
    <row r="30" spans="1:6" ht="15" customHeight="1" x14ac:dyDescent="0.25">
      <c r="A30" s="66"/>
      <c r="B30" s="10">
        <v>1200</v>
      </c>
      <c r="C30" s="11"/>
      <c r="D30" s="66"/>
      <c r="E30" s="10">
        <v>600</v>
      </c>
      <c r="F30" s="11"/>
    </row>
    <row r="31" spans="1:6" ht="15" customHeight="1" x14ac:dyDescent="0.25">
      <c r="A31" s="66"/>
      <c r="B31" s="10">
        <v>2400</v>
      </c>
      <c r="C31" s="11"/>
      <c r="D31" s="66"/>
      <c r="E31" s="10">
        <v>1200</v>
      </c>
      <c r="F31" s="11"/>
    </row>
    <row r="32" spans="1:6" ht="15" customHeight="1" x14ac:dyDescent="0.25">
      <c r="A32" s="66"/>
      <c r="B32" s="10">
        <v>4800</v>
      </c>
      <c r="C32" s="11"/>
      <c r="D32" s="66"/>
      <c r="E32" s="10">
        <v>2400</v>
      </c>
      <c r="F32" s="11"/>
    </row>
    <row r="33" spans="1:6" ht="15" customHeight="1" x14ac:dyDescent="0.25">
      <c r="A33" s="66"/>
      <c r="B33" s="10">
        <v>9600</v>
      </c>
      <c r="C33" s="11"/>
      <c r="D33" s="66"/>
      <c r="E33" s="10">
        <v>4800</v>
      </c>
      <c r="F33" s="11"/>
    </row>
    <row r="34" spans="1:6" ht="15" customHeight="1" x14ac:dyDescent="0.25">
      <c r="A34" s="66"/>
      <c r="B34" s="10">
        <v>19200</v>
      </c>
      <c r="C34" s="11"/>
      <c r="D34" s="66"/>
      <c r="E34" s="10">
        <v>9600</v>
      </c>
      <c r="F34" s="11"/>
    </row>
    <row r="35" spans="1:6" ht="15" customHeight="1" x14ac:dyDescent="0.25">
      <c r="A35" s="66"/>
      <c r="B35" s="10">
        <v>38400</v>
      </c>
      <c r="C35" s="11"/>
      <c r="D35" s="12"/>
      <c r="E35" s="11"/>
      <c r="F35" s="11"/>
    </row>
    <row r="36" spans="1:6" ht="15" customHeight="1" x14ac:dyDescent="0.25">
      <c r="A36" s="66"/>
      <c r="B36" s="10">
        <v>57600</v>
      </c>
      <c r="C36" s="11"/>
      <c r="D36" s="66" t="s">
        <v>27</v>
      </c>
      <c r="E36" s="10">
        <v>0</v>
      </c>
      <c r="F36" s="11"/>
    </row>
    <row r="37" spans="1:6" ht="15" customHeight="1" x14ac:dyDescent="0.25">
      <c r="A37" s="66"/>
      <c r="B37" s="10">
        <v>115200</v>
      </c>
      <c r="C37" s="11"/>
      <c r="D37" s="66"/>
      <c r="E37" s="10">
        <v>1</v>
      </c>
      <c r="F37" s="11"/>
    </row>
    <row r="38" spans="1:6" ht="15" customHeight="1" x14ac:dyDescent="0.25">
      <c r="A38" s="11"/>
      <c r="B38" s="11"/>
      <c r="C38" s="11"/>
      <c r="D38" s="66"/>
      <c r="E38" s="10">
        <v>2</v>
      </c>
      <c r="F38" s="11"/>
    </row>
    <row r="39" spans="1:6" ht="15" customHeight="1" x14ac:dyDescent="0.25">
      <c r="A39" s="66" t="s">
        <v>32</v>
      </c>
      <c r="B39" s="10" t="s">
        <v>34</v>
      </c>
      <c r="C39" s="11"/>
      <c r="D39" s="66"/>
      <c r="E39" s="10">
        <v>3</v>
      </c>
      <c r="F39" s="11"/>
    </row>
    <row r="40" spans="1:6" ht="15" customHeight="1" x14ac:dyDescent="0.25">
      <c r="A40" s="66"/>
      <c r="B40" s="10" t="s">
        <v>111</v>
      </c>
      <c r="D40" s="13"/>
      <c r="E40" s="14"/>
    </row>
    <row r="41" spans="1:6" ht="15" customHeight="1" x14ac:dyDescent="0.25">
      <c r="D41" s="66" t="s">
        <v>56</v>
      </c>
      <c r="E41" s="10">
        <v>0</v>
      </c>
    </row>
    <row r="42" spans="1:6" ht="17.25" customHeight="1" x14ac:dyDescent="0.25">
      <c r="A42" s="67" t="s">
        <v>21</v>
      </c>
      <c r="B42" s="10">
        <v>100</v>
      </c>
      <c r="D42" s="66"/>
      <c r="E42" s="10">
        <v>1</v>
      </c>
    </row>
    <row r="43" spans="1:6" ht="17.25" customHeight="1" x14ac:dyDescent="0.25">
      <c r="A43" s="67"/>
      <c r="B43" s="10">
        <v>30000</v>
      </c>
      <c r="D43" s="66"/>
      <c r="E43" s="10">
        <v>2</v>
      </c>
    </row>
    <row r="44" spans="1:6" ht="15" customHeight="1" x14ac:dyDescent="0.25">
      <c r="A44" s="15"/>
    </row>
    <row r="45" spans="1:6" ht="15" customHeight="1" x14ac:dyDescent="0.25"/>
    <row r="46" spans="1:6" ht="15" customHeight="1" x14ac:dyDescent="0.25">
      <c r="A46" s="15"/>
    </row>
    <row r="47" spans="1:6" ht="15" customHeight="1" x14ac:dyDescent="0.25">
      <c r="A47" s="15"/>
    </row>
    <row r="48" spans="1:6" ht="15" customHeight="1" x14ac:dyDescent="0.25">
      <c r="A48" s="15"/>
    </row>
    <row r="49" spans="1:1" ht="15" customHeight="1" x14ac:dyDescent="0.25">
      <c r="A49" s="15"/>
    </row>
    <row r="50" spans="1:1" ht="15" customHeight="1" x14ac:dyDescent="0.25">
      <c r="A50" s="15"/>
    </row>
    <row r="51" spans="1:1" ht="15" customHeight="1" x14ac:dyDescent="0.25">
      <c r="A51" s="15"/>
    </row>
    <row r="52" spans="1:1" ht="15" customHeight="1" x14ac:dyDescent="0.25">
      <c r="A52" s="15"/>
    </row>
    <row r="53" spans="1:1" ht="15" customHeight="1" x14ac:dyDescent="0.25">
      <c r="A53" s="15"/>
    </row>
    <row r="54" spans="1:1" ht="15" customHeight="1" x14ac:dyDescent="0.25">
      <c r="A54" s="15"/>
    </row>
    <row r="55" spans="1:1" ht="15" customHeight="1" x14ac:dyDescent="0.25">
      <c r="A55" s="15"/>
    </row>
    <row r="56" spans="1:1" ht="15" customHeight="1" x14ac:dyDescent="0.25">
      <c r="A56" s="15"/>
    </row>
    <row r="57" spans="1:1" ht="15" customHeight="1" x14ac:dyDescent="0.25">
      <c r="A57" s="15"/>
    </row>
    <row r="58" spans="1:1" ht="15" customHeight="1" x14ac:dyDescent="0.25">
      <c r="A58" s="15"/>
    </row>
    <row r="59" spans="1:1" ht="15" customHeight="1" x14ac:dyDescent="0.25">
      <c r="A59" s="15"/>
    </row>
    <row r="60" spans="1:1" ht="15" customHeight="1" x14ac:dyDescent="0.25">
      <c r="A60" s="15"/>
    </row>
    <row r="61" spans="1:1" ht="15" customHeight="1" x14ac:dyDescent="0.25">
      <c r="A61" s="15"/>
    </row>
    <row r="62" spans="1:1" ht="15" customHeight="1" x14ac:dyDescent="0.25">
      <c r="A62" s="15"/>
    </row>
    <row r="63" spans="1:1" ht="15" customHeight="1" x14ac:dyDescent="0.25">
      <c r="A63" s="15"/>
    </row>
    <row r="64" spans="1:1" ht="15" customHeight="1" x14ac:dyDescent="0.25">
      <c r="A64" s="15"/>
    </row>
    <row r="65" spans="1:1" ht="15" customHeight="1" x14ac:dyDescent="0.25">
      <c r="A65" s="15"/>
    </row>
    <row r="66" spans="1:1" ht="15" customHeight="1" x14ac:dyDescent="0.25">
      <c r="A66" s="15"/>
    </row>
    <row r="67" spans="1:1" ht="15" customHeight="1" x14ac:dyDescent="0.25">
      <c r="A67" s="15"/>
    </row>
    <row r="68" spans="1:1" ht="15" customHeight="1" x14ac:dyDescent="0.25">
      <c r="A68" s="15"/>
    </row>
    <row r="69" spans="1:1" ht="15" customHeight="1" x14ac:dyDescent="0.25">
      <c r="A69" s="15"/>
    </row>
    <row r="70" spans="1:1" ht="15" customHeight="1" x14ac:dyDescent="0.25">
      <c r="A70" s="15"/>
    </row>
    <row r="71" spans="1:1" ht="15" customHeight="1" x14ac:dyDescent="0.25">
      <c r="A71" s="15"/>
    </row>
    <row r="72" spans="1:1" ht="15" customHeight="1" x14ac:dyDescent="0.25">
      <c r="A72" s="15"/>
    </row>
    <row r="73" spans="1:1" ht="15" customHeight="1" x14ac:dyDescent="0.25">
      <c r="A73" s="15"/>
    </row>
    <row r="74" spans="1:1" ht="15" customHeight="1" x14ac:dyDescent="0.25">
      <c r="A74" s="15"/>
    </row>
    <row r="75" spans="1:1" ht="15" customHeight="1" x14ac:dyDescent="0.25">
      <c r="A75" s="15"/>
    </row>
    <row r="76" spans="1:1" ht="15" customHeight="1" x14ac:dyDescent="0.25">
      <c r="A76" s="15"/>
    </row>
    <row r="77" spans="1:1" ht="15" customHeight="1" x14ac:dyDescent="0.25">
      <c r="A77" s="15"/>
    </row>
    <row r="78" spans="1:1" ht="15" customHeight="1" x14ac:dyDescent="0.25">
      <c r="A78" s="15"/>
    </row>
    <row r="79" spans="1:1" ht="15" customHeight="1" x14ac:dyDescent="0.25">
      <c r="A79" s="15"/>
    </row>
    <row r="80" spans="1:1" ht="15" customHeight="1" x14ac:dyDescent="0.25">
      <c r="A80" s="15"/>
    </row>
    <row r="81" spans="1:1" ht="15" customHeight="1" x14ac:dyDescent="0.25">
      <c r="A81" s="15"/>
    </row>
    <row r="82" spans="1:1" ht="15" customHeight="1" x14ac:dyDescent="0.25">
      <c r="A82" s="15"/>
    </row>
    <row r="83" spans="1:1" ht="15" customHeight="1" x14ac:dyDescent="0.25">
      <c r="A83" s="15"/>
    </row>
  </sheetData>
  <mergeCells count="14">
    <mergeCell ref="A3:A11"/>
    <mergeCell ref="D3:D11"/>
    <mergeCell ref="A13:A19"/>
    <mergeCell ref="D13:D14"/>
    <mergeCell ref="D16:D17"/>
    <mergeCell ref="D19:D20"/>
    <mergeCell ref="D41:D43"/>
    <mergeCell ref="A42:A43"/>
    <mergeCell ref="A21:A26"/>
    <mergeCell ref="D22:D27"/>
    <mergeCell ref="A28:A37"/>
    <mergeCell ref="D29:D34"/>
    <mergeCell ref="D36:D39"/>
    <mergeCell ref="A39:A4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workbookViewId="0">
      <selection activeCell="B5" sqref="B5"/>
    </sheetView>
  </sheetViews>
  <sheetFormatPr defaultRowHeight="15" x14ac:dyDescent="0.25"/>
  <cols>
    <col min="1" max="1" width="15.140625" customWidth="1"/>
    <col min="2" max="2" width="10.42578125" bestFit="1" customWidth="1"/>
  </cols>
  <sheetData>
    <row r="1" spans="1:2" x14ac:dyDescent="0.25">
      <c r="A1" s="11" t="s">
        <v>272</v>
      </c>
      <c r="B1" s="11" t="s">
        <v>273</v>
      </c>
    </row>
    <row r="2" spans="1:2" x14ac:dyDescent="0.25">
      <c r="A2" s="11" t="s">
        <v>314</v>
      </c>
      <c r="B2" s="11">
        <v>1</v>
      </c>
    </row>
    <row r="3" spans="1:2" x14ac:dyDescent="0.25">
      <c r="A3" s="11" t="s">
        <v>270</v>
      </c>
      <c r="B3" s="11">
        <v>1</v>
      </c>
    </row>
    <row r="4" spans="1:2" x14ac:dyDescent="0.25">
      <c r="A4" s="11" t="s">
        <v>271</v>
      </c>
      <c r="B4" s="11">
        <v>1</v>
      </c>
    </row>
    <row r="5" spans="1:2" x14ac:dyDescent="0.25">
      <c r="A5" s="11" t="s">
        <v>313</v>
      </c>
      <c r="B5" s="11">
        <v>1</v>
      </c>
    </row>
    <row r="6" spans="1:2" x14ac:dyDescent="0.25">
      <c r="A6" s="11" t="s">
        <v>311</v>
      </c>
      <c r="B6" s="11">
        <v>1</v>
      </c>
    </row>
    <row r="7" spans="1:2" x14ac:dyDescent="0.25">
      <c r="A7" s="11"/>
      <c r="B7" s="11"/>
    </row>
    <row r="8" spans="1:2" x14ac:dyDescent="0.25">
      <c r="A8" s="11"/>
      <c r="B8" s="11"/>
    </row>
    <row r="9" spans="1:2" x14ac:dyDescent="0.25">
      <c r="A9" s="11"/>
      <c r="B9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Config</vt:lpstr>
      <vt:lpstr>Display</vt:lpstr>
      <vt:lpstr>PushFilter</vt:lpstr>
      <vt:lpstr>PushSetup</vt:lpstr>
      <vt:lpstr>Push1</vt:lpstr>
      <vt:lpstr>Push2</vt:lpstr>
      <vt:lpstr>Push3</vt:lpstr>
      <vt:lpstr>Push4</vt:lpstr>
      <vt:lpstr>Push5</vt:lpstr>
      <vt:lpstr>DayTariff</vt:lpstr>
      <vt:lpstr>WeekTariff</vt:lpstr>
      <vt:lpstr>SeasonTariff</vt:lpstr>
      <vt:lpstr>Перечисления</vt:lpstr>
      <vt:lpstr>SelectedStage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В. Родионов</dc:creator>
  <cp:lastModifiedBy>Тимур А. Хафизов</cp:lastModifiedBy>
  <cp:revision>1</cp:revision>
  <dcterms:created xsi:type="dcterms:W3CDTF">2015-06-05T18:19:34Z</dcterms:created>
  <dcterms:modified xsi:type="dcterms:W3CDTF">2025-08-04T09:23:26Z</dcterms:modified>
  <dc:language>ru-RU</dc:language>
</cp:coreProperties>
</file>