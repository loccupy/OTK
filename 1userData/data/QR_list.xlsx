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QR" sheetId="2" r:id="rId1"/>
    <sheet name="QR (2)" sheetId="3" r:id="rId2"/>
    <sheet name="Defects" sheetId="4" r:id="rId3"/>
  </sheets>
  <definedNames>
    <definedName name="_xlnm._FilterDatabase" localSheetId="0" hidden="1">QR!$A$4:$G$81</definedName>
  </definedNames>
  <calcPr calcId="162913"/>
</workbook>
</file>

<file path=xl/calcChain.xml><?xml version="1.0" encoding="utf-8"?>
<calcChain xmlns="http://schemas.openxmlformats.org/spreadsheetml/2006/main">
  <c r="H67" i="2" l="1"/>
  <c r="H66" i="2"/>
  <c r="H65" i="2"/>
  <c r="H64" i="2"/>
  <c r="H63" i="2"/>
  <c r="H62" i="2"/>
  <c r="H61" i="2"/>
  <c r="H58" i="2"/>
  <c r="H57" i="2"/>
  <c r="H56" i="2"/>
  <c r="H52" i="2"/>
  <c r="H51" i="2"/>
  <c r="H48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0" i="2"/>
  <c r="H9" i="2"/>
  <c r="H7" i="2"/>
  <c r="H6" i="2"/>
  <c r="H5" i="2"/>
  <c r="B1" i="2" l="1"/>
  <c r="C1" i="2" s="1"/>
  <c r="D1" i="2" s="1"/>
  <c r="E1" i="2" s="1"/>
  <c r="F1" i="2" s="1"/>
  <c r="G1" i="2" s="1"/>
  <c r="A5" i="3"/>
  <c r="A6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</calcChain>
</file>

<file path=xl/sharedStrings.xml><?xml version="1.0" encoding="utf-8"?>
<sst xmlns="http://schemas.openxmlformats.org/spreadsheetml/2006/main" count="413" uniqueCount="362">
  <si>
    <t>Механические повреждения на крышке</t>
  </si>
  <si>
    <t>Механическое повреждение на основании</t>
  </si>
  <si>
    <t>Отсутствует кнопка "Меню"</t>
  </si>
  <si>
    <t>Отсутствует кнопка "Парам"</t>
  </si>
  <si>
    <t>Залипает верхний концевик</t>
  </si>
  <si>
    <t>Некачественная гравировка крышки</t>
  </si>
  <si>
    <t>Клей на основании</t>
  </si>
  <si>
    <t>Залипает кнопка "Меню"</t>
  </si>
  <si>
    <t>Залипает кнопка "Парам"</t>
  </si>
  <si>
    <t>Залипает нижний концевик</t>
  </si>
  <si>
    <t>Старое ПО счетчика</t>
  </si>
  <si>
    <t>Старое ПО модема</t>
  </si>
  <si>
    <t>Клей на крышке</t>
  </si>
  <si>
    <t>Грязь на основании</t>
  </si>
  <si>
    <t>Не работает кнопка "Меню"</t>
  </si>
  <si>
    <t>Не работает кнопка "Парам"</t>
  </si>
  <si>
    <t>Грязь на крышке</t>
  </si>
  <si>
    <t>Отсутствуют гайки крепления клеммной крышки на основании</t>
  </si>
  <si>
    <t>Малый ход кнопки "Меню"</t>
  </si>
  <si>
    <t>Малый ход кнопки "Парам"</t>
  </si>
  <si>
    <t>Мутный световод оптопорта</t>
  </si>
  <si>
    <t>Воздушные пузыри в световоде оптопорта</t>
  </si>
  <si>
    <t xml:space="preserve">Посторонние включения в экране </t>
  </si>
  <si>
    <t>Мусор за экраном</t>
  </si>
  <si>
    <t>Криво установлено ЖКИ</t>
  </si>
  <si>
    <t>ЖКИ не отображает информацию</t>
  </si>
  <si>
    <t>ЖКИ смещено относительной рамки крышки (просвет)</t>
  </si>
  <si>
    <t>Концевик корпуса постоянно разомкнут</t>
  </si>
  <si>
    <t>Нечеткий ход переключателя блокировки реле</t>
  </si>
  <si>
    <t>Реле не переключается</t>
  </si>
  <si>
    <t>Нет связи со счетчиком через оптопорт</t>
  </si>
  <si>
    <t>Не включается счетчик при подаче напряжения</t>
  </si>
  <si>
    <t>Верхний концевик постоянно замкнут</t>
  </si>
  <si>
    <t>Верхний концевик постоянно разомкнут</t>
  </si>
  <si>
    <t>Нижний концевик постоянно замкнут</t>
  </si>
  <si>
    <t>Нижний концевик постоянно разомкнут</t>
  </si>
  <si>
    <t>Серийный номер в памяти счетчика не совпадает с номером на крышке</t>
  </si>
  <si>
    <t>Некачественная гравировка модема</t>
  </si>
  <si>
    <t>Не загорается светодиод POWER</t>
  </si>
  <si>
    <t>Модем "завис", нет связи с ним</t>
  </si>
  <si>
    <t>Модем не включается (не светятся светодиоды)</t>
  </si>
  <si>
    <t>Переключатель блокировки реле постоянно замкнут</t>
  </si>
  <si>
    <t>Переключатель блокировки реле постоянно разомкнут</t>
  </si>
  <si>
    <t>#top_1</t>
  </si>
  <si>
    <t>#top_2</t>
  </si>
  <si>
    <t>#top_3</t>
  </si>
  <si>
    <t>#top_4</t>
  </si>
  <si>
    <t>#base_1</t>
  </si>
  <si>
    <t>#base_2</t>
  </si>
  <si>
    <t>#base_3</t>
  </si>
  <si>
    <t>#base_4</t>
  </si>
  <si>
    <t>#screen_LCD_1</t>
  </si>
  <si>
    <t>#screen_LCD_2</t>
  </si>
  <si>
    <t>#screen_LCD_3</t>
  </si>
  <si>
    <t>#LCD_1</t>
  </si>
  <si>
    <t>#LCD_2</t>
  </si>
  <si>
    <t>#LCD_3</t>
  </si>
  <si>
    <t>#LCD_4</t>
  </si>
  <si>
    <t>#btn_MENU_1</t>
  </si>
  <si>
    <t>#btn_MENU_2</t>
  </si>
  <si>
    <t>#btn_MENU_3</t>
  </si>
  <si>
    <t>#btn_MENU_4</t>
  </si>
  <si>
    <t>#btn_PARAM_1</t>
  </si>
  <si>
    <t>#btn_PARAM_2</t>
  </si>
  <si>
    <t>#btn_PARAM_3</t>
  </si>
  <si>
    <t>#btn_PARAM_4</t>
  </si>
  <si>
    <t>#upper_contact_1</t>
  </si>
  <si>
    <t>#upper_contact_2</t>
  </si>
  <si>
    <t>#upper_contact_3</t>
  </si>
  <si>
    <t>#lower_contact_1</t>
  </si>
  <si>
    <t>#lower_contact_2</t>
  </si>
  <si>
    <t>#lower_contact_3</t>
  </si>
  <si>
    <t>#relay_1</t>
  </si>
  <si>
    <t>#relay_2</t>
  </si>
  <si>
    <t>#relay_3</t>
  </si>
  <si>
    <t>#relay_4</t>
  </si>
  <si>
    <t>#optoport_1</t>
  </si>
  <si>
    <t>#other_1</t>
  </si>
  <si>
    <t>#other_2</t>
  </si>
  <si>
    <t>#other_3</t>
  </si>
  <si>
    <t>#modem_1</t>
  </si>
  <si>
    <t>#modem_2</t>
  </si>
  <si>
    <t>#modem_3</t>
  </si>
  <si>
    <t>#modem_4</t>
  </si>
  <si>
    <t>#modem_5</t>
  </si>
  <si>
    <t>#body_contact_1</t>
  </si>
  <si>
    <t>Засветы (белые пятна) на ЖКИ</t>
  </si>
  <si>
    <t>№ыскуут_ДСВ_3</t>
  </si>
  <si>
    <t>№ДСВ_1</t>
  </si>
  <si>
    <t>№ДСВ_2</t>
  </si>
  <si>
    <t>№ДСВ_3</t>
  </si>
  <si>
    <t>№иет_ЬУТГ_1</t>
  </si>
  <si>
    <t>№иет_ЬУТГ_2</t>
  </si>
  <si>
    <t>№иет_ЬУТГ_3</t>
  </si>
  <si>
    <t>№иет_ЬУТГ_4</t>
  </si>
  <si>
    <t>№иет_ЗФКФЬ_1</t>
  </si>
  <si>
    <t>№иет_ЗФКФЬ_2</t>
  </si>
  <si>
    <t>№иет_ЗФКФЬ_3</t>
  </si>
  <si>
    <t>№иет_ЗФКФЬ_4</t>
  </si>
  <si>
    <t>№дщцук_сщтефсе_1</t>
  </si>
  <si>
    <t>№щзещзщке_1</t>
  </si>
  <si>
    <t>№ыскуут_ДСВ_2</t>
  </si>
  <si>
    <t>№ыскуут_ДСВ_1</t>
  </si>
  <si>
    <t>№щерук_3</t>
  </si>
  <si>
    <t>Царапины на экране</t>
  </si>
  <si>
    <t>Сколы на экране</t>
  </si>
  <si>
    <t>#screen_LCD_4</t>
  </si>
  <si>
    <t>№ыскуут_ДСВ_4</t>
  </si>
  <si>
    <t>#top_5</t>
  </si>
  <si>
    <t>Плохо читаемый текст гравировки крышки</t>
  </si>
  <si>
    <t>№ещз_5</t>
  </si>
  <si>
    <t>№ещз_1</t>
  </si>
  <si>
    <t>#base_5</t>
  </si>
  <si>
    <t>№ифыу_5</t>
  </si>
  <si>
    <t>№ифыу_4</t>
  </si>
  <si>
    <t>Щель между крышкой и основанием силовой клеммной колодки</t>
  </si>
  <si>
    <t>№щерук_2</t>
  </si>
  <si>
    <t>№щерук_1</t>
  </si>
  <si>
    <t>Плохой контакт кнопки "Меню"</t>
  </si>
  <si>
    <t>Плохой контакт кнопки "Парам"</t>
  </si>
  <si>
    <t>010101</t>
  </si>
  <si>
    <t>010102</t>
  </si>
  <si>
    <t>010103</t>
  </si>
  <si>
    <t>010104</t>
  </si>
  <si>
    <t>010105</t>
  </si>
  <si>
    <t>010201</t>
  </si>
  <si>
    <t>010202</t>
  </si>
  <si>
    <t>010205</t>
  </si>
  <si>
    <t>010203</t>
  </si>
  <si>
    <t>010204</t>
  </si>
  <si>
    <t>020101</t>
  </si>
  <si>
    <t>Цвет корпуса ПУ - серый</t>
  </si>
  <si>
    <t>зн-е переменной</t>
  </si>
  <si>
    <t>Цвет корпуса ПУ - белый</t>
  </si>
  <si>
    <t>Цвет корпуса ПУ - черный</t>
  </si>
  <si>
    <t>##color_body_1</t>
  </si>
  <si>
    <t>##color_body_2</t>
  </si>
  <si>
    <t>##color_body_3</t>
  </si>
  <si>
    <t>№№сщдщк_ищвн_1</t>
  </si>
  <si>
    <t>№№сщдщк_ищвн_2</t>
  </si>
  <si>
    <t>№№сщдщк_ищвн_3</t>
  </si>
  <si>
    <t>белый</t>
  </si>
  <si>
    <t>черный</t>
  </si>
  <si>
    <t>серый</t>
  </si>
  <si>
    <t>штрих-код</t>
  </si>
  <si>
    <t>имя глобальной переменной в программе</t>
  </si>
  <si>
    <t>meter_color_body_man</t>
  </si>
  <si>
    <t>№ьщвуь_1</t>
  </si>
  <si>
    <t>№ьщвуь_2</t>
  </si>
  <si>
    <t>№ьщвуь_3</t>
  </si>
  <si>
    <t>№ьщвуь_4</t>
  </si>
  <si>
    <t>№ьщвуь_5</t>
  </si>
  <si>
    <t>№ п/п</t>
  </si>
  <si>
    <t>Наименование</t>
  </si>
  <si>
    <t>Список замечаний к ПУ и модулям связи</t>
  </si>
  <si>
    <t>Отсутствуют винты в силовом клеммнике</t>
  </si>
  <si>
    <t>#screen_LCD_5</t>
  </si>
  <si>
    <t>№ыскуут_ДСВ_5</t>
  </si>
  <si>
    <t>№ещз_2</t>
  </si>
  <si>
    <t>№ещз_3</t>
  </si>
  <si>
    <t>№ещз_4</t>
  </si>
  <si>
    <t>№ифыу_1</t>
  </si>
  <si>
    <t>№ифыу_2</t>
  </si>
  <si>
    <t>№ифыу_3</t>
  </si>
  <si>
    <t>#base_6</t>
  </si>
  <si>
    <t>010206</t>
  </si>
  <si>
    <t>№ифыу_6</t>
  </si>
  <si>
    <t>Посторонний шум внутри корпуса</t>
  </si>
  <si>
    <t>Пятна (полоски) клея на экране</t>
  </si>
  <si>
    <t>1</t>
  </si>
  <si>
    <t>&lt;-номер строки, откуда начинаются данные</t>
  </si>
  <si>
    <t>5</t>
  </si>
  <si>
    <t>Не все сегменты светятся на ЖКИ</t>
  </si>
  <si>
    <t>Не включается подсветка ЖКИ</t>
  </si>
  <si>
    <t>Конфигурация счетчика не соответствует требуемой</t>
  </si>
  <si>
    <t>При откл. напряжения счетчик продолжает отображать информацию на ЖКИ</t>
  </si>
  <si>
    <t>Отпечатки пальцев на внутренней стороне экрана</t>
  </si>
  <si>
    <t>Модель счетчика, указанная на крышке корпуса отличается модели, определяемой по коду изделия</t>
  </si>
  <si>
    <t>Отсутствуют все символы на ЖКИ, подсветка ЖКИ работает</t>
  </si>
  <si>
    <t>Нечеткое отображение символов на ЖКИ</t>
  </si>
  <si>
    <t>Тусклый свет на светодиоде АЭ</t>
  </si>
  <si>
    <t>Сломан нижний концевик</t>
  </si>
  <si>
    <t>Сломан верхний концевик</t>
  </si>
  <si>
    <t>Неплотно закрыта крышка корпуса</t>
  </si>
  <si>
    <t>Не читается QR-код модема</t>
  </si>
  <si>
    <t>Не читается QR-код счетчика</t>
  </si>
  <si>
    <t>Наклейка импульсных выводов "-pR +pR -pA +pA" на 1 ф. сч-ке перевернута</t>
  </si>
  <si>
    <t>Отсутствует наклейка импульсных выводов "-pR +pR -pA +pA" на 1 ф. сч-ке</t>
  </si>
  <si>
    <t>Монтажный провод находится за пределами корпуса счетчика (около клеммной колодки), зажат крышкой</t>
  </si>
  <si>
    <t>#top_6</t>
  </si>
  <si>
    <t>№ещз_6</t>
  </si>
  <si>
    <t>010106</t>
  </si>
  <si>
    <t>Отсутствует(ют) световод(ы) АЭ (РЭ)</t>
  </si>
  <si>
    <t>#light_ guide_1</t>
  </si>
  <si>
    <t>#light_ guide_2</t>
  </si>
  <si>
    <t>#light_ guide_3</t>
  </si>
  <si>
    <t>№дшпре_пгшву_1</t>
  </si>
  <si>
    <t>№дшпре_пгшву_2</t>
  </si>
  <si>
    <t>№дшпре_пгшву_3</t>
  </si>
  <si>
    <t>№ДСВ_4</t>
  </si>
  <si>
    <t>№кудфн_1</t>
  </si>
  <si>
    <t>№кудфн_2</t>
  </si>
  <si>
    <t>№кудфн_3</t>
  </si>
  <si>
    <t>№кудфн_4</t>
  </si>
  <si>
    <t>#modem_6</t>
  </si>
  <si>
    <t>№ьщвуь_6</t>
  </si>
  <si>
    <t>#modem_7</t>
  </si>
  <si>
    <t>№ьщвуь_7</t>
  </si>
  <si>
    <t>#lower_contact_4</t>
  </si>
  <si>
    <t>#upper_contact_4</t>
  </si>
  <si>
    <t>#screen_LCD_6</t>
  </si>
  <si>
    <t>№ыскуут_ДСВ_6</t>
  </si>
  <si>
    <t>#LCD_5</t>
  </si>
  <si>
    <t>№ДСВ_5</t>
  </si>
  <si>
    <t>#LCD_6</t>
  </si>
  <si>
    <t>№ДСВ_6</t>
  </si>
  <si>
    <t>Плохо читаемый текст надписей на корпусе счетчика</t>
  </si>
  <si>
    <t>#relay_5</t>
  </si>
  <si>
    <t>№кудфн_5</t>
  </si>
  <si>
    <t>Ручка переключателя блокир.реле расположена вровень с корпусом</t>
  </si>
  <si>
    <t>Рисунок и надписи на крышке счетчика смещены</t>
  </si>
  <si>
    <t>010207</t>
  </si>
  <si>
    <t>#base_7</t>
  </si>
  <si>
    <t>№ифыу_7</t>
  </si>
  <si>
    <t>010208</t>
  </si>
  <si>
    <t>#base_8</t>
  </si>
  <si>
    <t>№ифыу_8</t>
  </si>
  <si>
    <t>010209</t>
  </si>
  <si>
    <t>#base_9</t>
  </si>
  <si>
    <t>№ифыу_9</t>
  </si>
  <si>
    <t>#base_10</t>
  </si>
  <si>
    <t>№ифыу_10</t>
  </si>
  <si>
    <t>010211</t>
  </si>
  <si>
    <t>#base_11</t>
  </si>
  <si>
    <t>№ифыу_11</t>
  </si>
  <si>
    <t>010212</t>
  </si>
  <si>
    <t>#LCD_7</t>
  </si>
  <si>
    <t>№ДСВ_7</t>
  </si>
  <si>
    <t>№гззук_сщтефсе_2</t>
  </si>
  <si>
    <t>№гззук_сщтефсе_1</t>
  </si>
  <si>
    <t>№гззук_сщтефсе_3</t>
  </si>
  <si>
    <t>№гззук_сщтефсе_4</t>
  </si>
  <si>
    <t>№дщцук_сщтефсе_2</t>
  </si>
  <si>
    <t>№дщцук_сщтефсе_3</t>
  </si>
  <si>
    <t>№дщцук_сщтефсе_4</t>
  </si>
  <si>
    <t>#other_4</t>
  </si>
  <si>
    <t>№щерук_4</t>
  </si>
  <si>
    <t>#other_5</t>
  </si>
  <si>
    <t>№щерук_5</t>
  </si>
  <si>
    <t>#other_6</t>
  </si>
  <si>
    <t>№щерук_6</t>
  </si>
  <si>
    <t>Отсутствуют световоды TX, RX на модеме</t>
  </si>
  <si>
    <t>Не загорается светодиод POWER на модеме</t>
  </si>
  <si>
    <t>таб.номер сотрудника №216</t>
  </si>
  <si>
    <t>Ф.И.О. сотрудника</t>
  </si>
  <si>
    <t>Абросимова Гульчачак Магфуровна</t>
  </si>
  <si>
    <t>№№шв_ашщ_гыук_216</t>
  </si>
  <si>
    <t>##id_fio_user_216</t>
  </si>
  <si>
    <t>#light_ guide_4</t>
  </si>
  <si>
    <t>№дшпре_пгшву_4</t>
  </si>
  <si>
    <t>QR-код англ.</t>
  </si>
  <si>
    <t>QR-код рус.</t>
  </si>
  <si>
    <t>Текст, выводимый</t>
  </si>
  <si>
    <t>Показания активной энергии для 3ф. сч-ка превышают 20 кВтч, для 1 ф.сч-ка - 10 кВтч</t>
  </si>
  <si>
    <t>010301</t>
  </si>
  <si>
    <t>010302</t>
  </si>
  <si>
    <t>010303</t>
  </si>
  <si>
    <t>010304</t>
  </si>
  <si>
    <t>010305</t>
  </si>
  <si>
    <t>010306</t>
  </si>
  <si>
    <t>010401</t>
  </si>
  <si>
    <t>010402</t>
  </si>
  <si>
    <t>010403</t>
  </si>
  <si>
    <t>010404</t>
  </si>
  <si>
    <t>010501</t>
  </si>
  <si>
    <t>010502</t>
  </si>
  <si>
    <t>010503</t>
  </si>
  <si>
    <t>010504</t>
  </si>
  <si>
    <t>010505</t>
  </si>
  <si>
    <t>010506</t>
  </si>
  <si>
    <t>010507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</si>
  <si>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</si>
  <si>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</si>
  <si>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</si>
  <si>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</si>
  <si>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</si>
  <si>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</si>
  <si>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</si>
  <si>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</si>
  <si>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010701</t>
  </si>
  <si>
    <t>010702</t>
  </si>
  <si>
    <t>010703</t>
  </si>
  <si>
    <t>010704</t>
  </si>
  <si>
    <t>010801</t>
  </si>
  <si>
    <t>010802</t>
  </si>
  <si>
    <t>010803</t>
  </si>
  <si>
    <t>010804</t>
  </si>
  <si>
    <t>010901</t>
  </si>
  <si>
    <t>011001</t>
  </si>
  <si>
    <t>011002</t>
  </si>
  <si>
    <t>011003</t>
  </si>
  <si>
    <t>011004</t>
  </si>
  <si>
    <t>011005</t>
  </si>
  <si>
    <t>011101</t>
  </si>
  <si>
    <t>011201</t>
  </si>
  <si>
    <t>011202</t>
  </si>
  <si>
    <t>011203</t>
  </si>
  <si>
    <t>011204</t>
  </si>
  <si>
    <t>011205</t>
  </si>
  <si>
    <t>011206</t>
  </si>
  <si>
    <t>011301</t>
  </si>
  <si>
    <t>011302</t>
  </si>
  <si>
    <t>011303</t>
  </si>
  <si>
    <t>011304</t>
  </si>
  <si>
    <t>011305</t>
  </si>
  <si>
    <t>011306</t>
  </si>
  <si>
    <t>011307</t>
  </si>
  <si>
    <t>020102</t>
  </si>
  <si>
    <t>020103</t>
  </si>
  <si>
    <t>020201</t>
  </si>
  <si>
    <t>020202</t>
  </si>
  <si>
    <t>Слияние текста и QR-кода</t>
  </si>
  <si>
    <t>Примеры дефектов</t>
  </si>
  <si>
    <t>Примечания</t>
  </si>
  <si>
    <t>c3007fbb-9ea6-4a87-a005-c47d2ca1f82d</t>
  </si>
  <si>
    <t>Несоответствие требованиям конструкторской документации</t>
  </si>
  <si>
    <t>замечания к работе кнопок ПАРАМ, МЕНЮ, не соответствие пароля заказу</t>
  </si>
  <si>
    <t>все остальные дефекты</t>
  </si>
  <si>
    <t>c683f2e0-d00e-4569-930e-1401e45bd9e0</t>
  </si>
  <si>
    <t>Несоответствие маркировки счетчика э/э</t>
  </si>
  <si>
    <t>замечания по гравировке счетчика и/или МС, их маркировке (тип, номер, QR-код)</t>
  </si>
  <si>
    <t>47f57e2c-6265-46f9-a0ba-7e4983e7da92</t>
  </si>
  <si>
    <t>Дефекты сохранения информации электронного отсчетного устройства</t>
  </si>
  <si>
    <t>не применяется</t>
  </si>
  <si>
    <t>ec29a873-98ec-4f9b-ac99-728fb77591f3</t>
  </si>
  <si>
    <t>Дефекты в работе интерфейса</t>
  </si>
  <si>
    <t>замечания по установлению связи с ПУ через интерфейсы. На тек. день это: оптопорт, RS-485.</t>
  </si>
  <si>
    <t>f356ed4c-4437-4850-bd21-13daf8d2a135</t>
  </si>
  <si>
    <t>Дефекты в отображения информации в режиме автоматической циклической индикации</t>
  </si>
  <si>
    <t xml:space="preserve"> замечания по ЖКИ: отсутствие отдельных сегментов, подсветка</t>
  </si>
  <si>
    <t>f12439bc-dc93-4441-a64f-da275199432b</t>
  </si>
  <si>
    <t>Другие дефекты ИПУ 1Ф (дефект не уникальный для ОТК)</t>
  </si>
  <si>
    <t>статус</t>
  </si>
  <si>
    <t>Другие дефекты ИПУ 3Ф (дефект не уникальный для ОТК)</t>
  </si>
  <si>
    <t>В строке 9 указаны наименования столбцов. Их нужно оставить без изменения.</t>
  </si>
  <si>
    <t>Запись действует с ДД.ММ.ГГГ (вкл)</t>
  </si>
  <si>
    <t>Запись действует по ДД.ММ.ГГГ (вкл)</t>
  </si>
  <si>
    <t>recActualFrom</t>
  </si>
  <si>
    <t>recActualTo</t>
  </si>
  <si>
    <t>Код категории дефекта в СУТП</t>
  </si>
  <si>
    <t>defectCategory</t>
  </si>
  <si>
    <t>example</t>
  </si>
  <si>
    <t>remark</t>
  </si>
  <si>
    <t>Наименование категории дефекта</t>
  </si>
  <si>
    <t>гравир,тип,номер,QR,рисун,модел</t>
  </si>
  <si>
    <t>Ключевые слова, часть слов, фразы
(без пробелов после запятой)</t>
  </si>
  <si>
    <t>нет связи,оптопорт,RS,485</t>
  </si>
  <si>
    <t>ЖКИ,не отображается,показани,подсветк</t>
  </si>
  <si>
    <t>keywords</t>
  </si>
  <si>
    <t>idDefectCategory</t>
  </si>
  <si>
    <t>несоответствие статуса ПУ</t>
  </si>
  <si>
    <t>5f0745b8-029b-4559-a711-7b5b65a3390f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</si>
</sst>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1"/>
  <sheetViews>
    <sheetView zoomScaleNormal="100" workbookViewId="0">
      <pane xSplit="2" ySplit="4" topLeftCell="C5" activePane="bottomRight" state="frozen"/>
      <selection pane="topRight" activeCell="B1" sqref="B1"/>
      <selection pane="bottomLeft" activeCell="A2" sqref="A2"/>
      <selection pane="bottomRight" activeCell="H31" sqref="H31"/>
    </sheetView>
  </sheetViews>
  <sheetFormatPr defaultRowHeight="15" x14ac:dyDescent="0.25"/>
  <cols>
    <col min="1" max="1" width="9.140625" style="10"/>
    <col min="2" max="2" width="18.140625" style="3" bestFit="1" customWidth="1"/>
    <col min="3" max="3" width="22.7109375" style="3" customWidth="1"/>
    <col min="4" max="4" width="52.85546875" style="8" customWidth="1"/>
    <col min="5" max="5" width="21.140625" style="8" customWidth="1"/>
    <col min="6" max="6" width="12.42578125" style="8" customWidth="1"/>
    <col min="7" max="7" width="13.85546875" style="2" customWidth="1"/>
    <col min="8" max="8" width="26.140625" style="3" customWidth="1"/>
    <col min="9" max="16384" width="9.140625" style="2"/>
  </cols>
  <sheetData>
    <row r="1" spans="1:8" x14ac:dyDescent="0.25">
      <c r="A1" s="10" t="s">
        <v>169</v>
      </c>
      <c r="B1" s="10">
        <f>A1+1</f>
        <v>2</v>
      </c>
      <c r="C1" s="10">
        <f t="shared" ref="C1:G1" si="0">B1+1</f>
        <v>3</v>
      </c>
      <c r="D1" s="17">
        <f>C1+1</f>
        <v>4</v>
      </c>
      <c r="E1" s="10">
        <f t="shared" si="0"/>
        <v>5</v>
      </c>
      <c r="F1" s="10">
        <f t="shared" si="0"/>
        <v>6</v>
      </c>
      <c r="G1" s="10">
        <f t="shared" si="0"/>
        <v>7</v>
      </c>
    </row>
    <row r="2" spans="1:8" x14ac:dyDescent="0.25">
      <c r="A2" s="15" t="s">
        <v>171</v>
      </c>
      <c r="B2" s="16" t="s">
        <v>170</v>
      </c>
      <c r="C2" s="10"/>
      <c r="D2" s="17"/>
      <c r="E2" s="10"/>
      <c r="F2" s="10"/>
      <c r="G2" s="10"/>
    </row>
    <row r="3" spans="1:8" x14ac:dyDescent="0.25">
      <c r="B3" s="10"/>
      <c r="C3" s="10"/>
      <c r="D3" s="17"/>
      <c r="E3" s="10"/>
      <c r="F3" s="10"/>
      <c r="G3" s="10"/>
    </row>
    <row r="4" spans="1:8" ht="45" x14ac:dyDescent="0.25">
      <c r="A4" s="9" t="s">
        <v>144</v>
      </c>
      <c r="B4" s="1" t="s">
        <v>260</v>
      </c>
      <c r="C4" s="1" t="s">
        <v>261</v>
      </c>
      <c r="D4" s="5" t="s">
        <v>262</v>
      </c>
      <c r="E4" s="5" t="s">
        <v>145</v>
      </c>
      <c r="F4" s="5" t="s">
        <v>132</v>
      </c>
      <c r="G4" s="1"/>
      <c r="H4" s="4" t="s">
        <v>321</v>
      </c>
    </row>
    <row r="5" spans="1:8" ht="45" x14ac:dyDescent="0.25">
      <c r="A5" s="22" t="s">
        <v>120</v>
      </c>
      <c r="B5" s="4" t="s">
        <v>43</v>
      </c>
      <c r="C5" s="4" t="s">
        <v>111</v>
      </c>
      <c r="D5" s="18" t="s">
        <v>0</v>
      </c>
      <c r="E5" s="6"/>
      <c r="F5" s="6"/>
      <c r="G5" s="1">
        <v>2</v>
      </c>
      <c r="H5" s="4" t="str">
        <f>D5&amp;" ("&amp;B5&amp;")"</f>
        <v>Механические повреждения на крышке (#top_1)</v>
      </c>
    </row>
    <row r="6" spans="1:8" ht="45" x14ac:dyDescent="0.25">
      <c r="A6" s="9" t="s">
        <v>121</v>
      </c>
      <c r="B6" s="4" t="s">
        <v>44</v>
      </c>
      <c r="C6" s="4" t="s">
        <v>158</v>
      </c>
      <c r="D6" s="18" t="s">
        <v>220</v>
      </c>
      <c r="E6" s="6"/>
      <c r="F6" s="6"/>
      <c r="G6" s="1">
        <v>3</v>
      </c>
      <c r="H6" s="4" t="str">
        <f t="shared" ref="H6:H7" si="1">D6&amp;" ("&amp;B6&amp;")"</f>
        <v>Рисунок и надписи на крышке счетчика смещены (#top_2)</v>
      </c>
    </row>
    <row r="7" spans="1:8" x14ac:dyDescent="0.25">
      <c r="A7" s="9" t="s">
        <v>122</v>
      </c>
      <c r="B7" s="4" t="s">
        <v>45</v>
      </c>
      <c r="C7" s="4" t="s">
        <v>159</v>
      </c>
      <c r="D7" s="18" t="s">
        <v>12</v>
      </c>
      <c r="E7" s="6"/>
      <c r="F7" s="6"/>
      <c r="G7" s="1">
        <v>2</v>
      </c>
      <c r="H7" s="4" t="str">
        <f t="shared" si="1"/>
        <v>Клей на крышке (#top_3)</v>
      </c>
    </row>
    <row r="8" spans="1:8" x14ac:dyDescent="0.25">
      <c r="A8" s="9" t="s">
        <v>123</v>
      </c>
      <c r="B8" s="4" t="s">
        <v>46</v>
      </c>
      <c r="C8" s="4" t="s">
        <v>160</v>
      </c>
      <c r="D8" s="6" t="s">
        <v>16</v>
      </c>
      <c r="E8" s="6"/>
      <c r="F8" s="6"/>
      <c r="G8" s="1"/>
      <c r="H8" s="1"/>
    </row>
    <row r="9" spans="1:8" ht="45" x14ac:dyDescent="0.25">
      <c r="A9" s="9" t="s">
        <v>124</v>
      </c>
      <c r="B9" s="4" t="s">
        <v>108</v>
      </c>
      <c r="C9" s="4" t="s">
        <v>110</v>
      </c>
      <c r="D9" s="18" t="s">
        <v>216</v>
      </c>
      <c r="E9" s="6"/>
      <c r="F9" s="6"/>
      <c r="G9" s="1">
        <v>2</v>
      </c>
      <c r="H9" s="4" t="str">
        <f t="shared" ref="H9:H10" si="2">D9&amp;" ("&amp;B9&amp;")"</f>
        <v>Плохо читаемый текст надписей на корпусе счетчика (#top_5)</v>
      </c>
    </row>
    <row r="10" spans="1:8" ht="30" x14ac:dyDescent="0.25">
      <c r="A10" s="9" t="s">
        <v>191</v>
      </c>
      <c r="B10" s="4" t="s">
        <v>189</v>
      </c>
      <c r="C10" s="4" t="s">
        <v>190</v>
      </c>
      <c r="D10" s="18" t="s">
        <v>185</v>
      </c>
      <c r="E10" s="6"/>
      <c r="F10" s="6"/>
      <c r="G10" s="1">
        <v>3</v>
      </c>
      <c r="H10" s="4" t="str">
        <f t="shared" si="2"/>
        <v>Не читается QR-код счетчика (#top_6)</v>
      </c>
    </row>
    <row r="11" spans="1:8" x14ac:dyDescent="0.25">
      <c r="A11" s="9" t="s">
        <v>125</v>
      </c>
      <c r="B11" s="4" t="s">
        <v>47</v>
      </c>
      <c r="C11" s="4" t="s">
        <v>161</v>
      </c>
      <c r="D11" s="6" t="s">
        <v>1</v>
      </c>
      <c r="E11" s="6"/>
      <c r="F11" s="6"/>
      <c r="G11" s="1"/>
      <c r="H11" s="1"/>
    </row>
    <row r="12" spans="1:8" x14ac:dyDescent="0.25">
      <c r="A12" s="9" t="s">
        <v>126</v>
      </c>
      <c r="B12" s="4" t="s">
        <v>48</v>
      </c>
      <c r="C12" s="4" t="s">
        <v>162</v>
      </c>
      <c r="D12" s="6" t="s">
        <v>6</v>
      </c>
      <c r="E12" s="6"/>
      <c r="F12" s="6"/>
      <c r="G12" s="1"/>
      <c r="H12" s="1"/>
    </row>
    <row r="13" spans="1:8" x14ac:dyDescent="0.25">
      <c r="A13" s="9" t="s">
        <v>128</v>
      </c>
      <c r="B13" s="4" t="s">
        <v>49</v>
      </c>
      <c r="C13" s="4" t="s">
        <v>163</v>
      </c>
      <c r="D13" s="6" t="s">
        <v>13</v>
      </c>
      <c r="E13" s="6"/>
      <c r="F13" s="6"/>
      <c r="G13" s="1"/>
      <c r="H13" s="1"/>
    </row>
    <row r="14" spans="1:8" ht="60" x14ac:dyDescent="0.25">
      <c r="A14" s="9" t="s">
        <v>129</v>
      </c>
      <c r="B14" s="4" t="s">
        <v>50</v>
      </c>
      <c r="C14" s="4" t="s">
        <v>114</v>
      </c>
      <c r="D14" s="18" t="s">
        <v>17</v>
      </c>
      <c r="E14" s="6"/>
      <c r="F14" s="6"/>
      <c r="G14" s="1">
        <v>2</v>
      </c>
      <c r="H14" s="4" t="str">
        <f t="shared" ref="H14:H27" si="3">D14&amp;" ("&amp;B14&amp;")"</f>
        <v>Отсутствуют гайки крепления клеммной крышки на основании (#base_4)</v>
      </c>
    </row>
    <row r="15" spans="1:8" ht="60" x14ac:dyDescent="0.25">
      <c r="A15" s="9" t="s">
        <v>127</v>
      </c>
      <c r="B15" s="4" t="s">
        <v>112</v>
      </c>
      <c r="C15" s="4" t="s">
        <v>113</v>
      </c>
      <c r="D15" s="18" t="s">
        <v>115</v>
      </c>
      <c r="E15" s="6"/>
      <c r="F15" s="6"/>
      <c r="G15" s="1">
        <v>2</v>
      </c>
      <c r="H15" s="4" t="str">
        <f t="shared" si="3"/>
        <v>Щель между крышкой и основанием силовой клеммной колодки (#base_5)</v>
      </c>
    </row>
    <row r="16" spans="1:8" ht="30" x14ac:dyDescent="0.25">
      <c r="A16" s="9" t="s">
        <v>165</v>
      </c>
      <c r="B16" s="4" t="s">
        <v>164</v>
      </c>
      <c r="C16" s="4" t="s">
        <v>166</v>
      </c>
      <c r="D16" s="18" t="s">
        <v>167</v>
      </c>
      <c r="E16" s="6"/>
      <c r="F16" s="6"/>
      <c r="G16" s="1">
        <v>2</v>
      </c>
      <c r="H16" s="4" t="str">
        <f t="shared" si="3"/>
        <v>Посторонний шум внутри корпуса (#base_6)</v>
      </c>
    </row>
    <row r="17" spans="1:8" ht="60" x14ac:dyDescent="0.25">
      <c r="A17" s="9" t="s">
        <v>221</v>
      </c>
      <c r="B17" s="4" t="s">
        <v>222</v>
      </c>
      <c r="C17" s="4" t="s">
        <v>223</v>
      </c>
      <c r="D17" s="18" t="s">
        <v>187</v>
      </c>
      <c r="E17" s="6"/>
      <c r="F17" s="6"/>
      <c r="G17" s="1">
        <v>3</v>
      </c>
      <c r="H17" s="4" t="str">
        <f t="shared" si="3"/>
        <v>Отсутствует наклейка импульсных выводов "-pR +pR -pA +pA" на 1 ф. сч-ке (#base_7)</v>
      </c>
    </row>
    <row r="18" spans="1:8" ht="60" x14ac:dyDescent="0.25">
      <c r="A18" s="9" t="s">
        <v>224</v>
      </c>
      <c r="B18" s="4" t="s">
        <v>225</v>
      </c>
      <c r="C18" s="4" t="s">
        <v>226</v>
      </c>
      <c r="D18" s="18" t="s">
        <v>186</v>
      </c>
      <c r="E18" s="6"/>
      <c r="F18" s="6"/>
      <c r="G18" s="1">
        <v>3</v>
      </c>
      <c r="H18" s="4" t="str">
        <f t="shared" si="3"/>
        <v>Наклейка импульсных выводов "-pR +pR -pA +pA" на 1 ф. сч-ке перевернута (#base_8)</v>
      </c>
    </row>
    <row r="19" spans="1:8" ht="75" x14ac:dyDescent="0.25">
      <c r="A19" s="9" t="s">
        <v>227</v>
      </c>
      <c r="B19" s="4" t="s">
        <v>228</v>
      </c>
      <c r="C19" s="4" t="s">
        <v>229</v>
      </c>
      <c r="D19" s="19" t="s">
        <v>177</v>
      </c>
      <c r="E19" s="6"/>
      <c r="F19" s="6"/>
      <c r="G19" s="1">
        <v>3</v>
      </c>
      <c r="H19" s="4" t="str">
        <f t="shared" si="3"/>
        <v>Модель счетчика, указанная на крышке корпуса отличается модели, определяемой по коду изделия (#base_9)</v>
      </c>
    </row>
    <row r="20" spans="1:8" ht="30" x14ac:dyDescent="0.25">
      <c r="A20" s="9" t="s">
        <v>232</v>
      </c>
      <c r="B20" s="4" t="s">
        <v>230</v>
      </c>
      <c r="C20" s="4" t="s">
        <v>231</v>
      </c>
      <c r="D20" s="19" t="s">
        <v>183</v>
      </c>
      <c r="E20" s="6"/>
      <c r="F20" s="6"/>
      <c r="G20" s="1">
        <v>3</v>
      </c>
      <c r="H20" s="4" t="str">
        <f t="shared" si="3"/>
        <v>Неплотно закрыта крышка корпуса (#base_10)</v>
      </c>
    </row>
    <row r="21" spans="1:8" ht="75" x14ac:dyDescent="0.25">
      <c r="A21" s="9" t="s">
        <v>235</v>
      </c>
      <c r="B21" s="4" t="s">
        <v>233</v>
      </c>
      <c r="C21" s="4" t="s">
        <v>234</v>
      </c>
      <c r="D21" s="19" t="s">
        <v>188</v>
      </c>
      <c r="E21" s="6"/>
      <c r="F21" s="6"/>
      <c r="G21" s="1">
        <v>3</v>
      </c>
      <c r="H21" s="4" t="str">
        <f t="shared" si="3"/>
        <v>Монтажный провод находится за пределами корпуса счетчика (около клеммной колодки), зажат крышкой (#base_11)</v>
      </c>
    </row>
    <row r="22" spans="1:8" ht="30" x14ac:dyDescent="0.25">
      <c r="A22" s="22" t="s">
        <v>264</v>
      </c>
      <c r="B22" s="4" t="s">
        <v>51</v>
      </c>
      <c r="C22" s="4" t="s">
        <v>102</v>
      </c>
      <c r="D22" s="18" t="s">
        <v>22</v>
      </c>
      <c r="E22" s="6"/>
      <c r="F22" s="6"/>
      <c r="G22" s="1">
        <v>2</v>
      </c>
      <c r="H22" s="4" t="str">
        <f t="shared" si="3"/>
        <v>Посторонние включения в экране  (#screen_LCD_1)</v>
      </c>
    </row>
    <row r="23" spans="1:8" ht="30" x14ac:dyDescent="0.25">
      <c r="A23" s="22" t="s">
        <v>265</v>
      </c>
      <c r="B23" s="4" t="s">
        <v>52</v>
      </c>
      <c r="C23" s="4" t="s">
        <v>101</v>
      </c>
      <c r="D23" s="18" t="s">
        <v>104</v>
      </c>
      <c r="E23" s="6"/>
      <c r="F23" s="6"/>
      <c r="G23" s="1">
        <v>2</v>
      </c>
      <c r="H23" s="4" t="str">
        <f t="shared" si="3"/>
        <v>Царапины на экране (#screen_LCD_2)</v>
      </c>
    </row>
    <row r="24" spans="1:8" ht="30" x14ac:dyDescent="0.25">
      <c r="A24" s="22" t="s">
        <v>266</v>
      </c>
      <c r="B24" s="4" t="s">
        <v>53</v>
      </c>
      <c r="C24" s="4" t="s">
        <v>87</v>
      </c>
      <c r="D24" s="18" t="s">
        <v>23</v>
      </c>
      <c r="E24" s="6"/>
      <c r="F24" s="6"/>
      <c r="G24" s="1">
        <v>2</v>
      </c>
      <c r="H24" s="4" t="str">
        <f t="shared" si="3"/>
        <v>Мусор за экраном (#screen_LCD_3)</v>
      </c>
    </row>
    <row r="25" spans="1:8" ht="30" x14ac:dyDescent="0.25">
      <c r="A25" s="9" t="s">
        <v>267</v>
      </c>
      <c r="B25" s="4" t="s">
        <v>106</v>
      </c>
      <c r="C25" s="4" t="s">
        <v>107</v>
      </c>
      <c r="D25" s="19" t="s">
        <v>105</v>
      </c>
      <c r="E25" s="7"/>
      <c r="F25" s="7"/>
      <c r="G25" s="1">
        <v>2</v>
      </c>
      <c r="H25" s="4" t="str">
        <f t="shared" si="3"/>
        <v>Сколы на экране (#screen_LCD_4)</v>
      </c>
    </row>
    <row r="26" spans="1:8" ht="30" x14ac:dyDescent="0.25">
      <c r="A26" s="9" t="s">
        <v>268</v>
      </c>
      <c r="B26" s="4" t="s">
        <v>156</v>
      </c>
      <c r="C26" s="4" t="s">
        <v>157</v>
      </c>
      <c r="D26" s="19" t="s">
        <v>168</v>
      </c>
      <c r="E26" s="7"/>
      <c r="F26" s="7"/>
      <c r="G26" s="1">
        <v>2</v>
      </c>
      <c r="H26" s="4" t="str">
        <f t="shared" si="3"/>
        <v>Пятна (полоски) клея на экране (#screen_LCD_5)</v>
      </c>
    </row>
    <row r="27" spans="1:8" ht="45" x14ac:dyDescent="0.25">
      <c r="A27" s="9" t="s">
        <v>269</v>
      </c>
      <c r="B27" s="4" t="s">
        <v>210</v>
      </c>
      <c r="C27" s="4" t="s">
        <v>211</v>
      </c>
      <c r="D27" s="20" t="s">
        <v>176</v>
      </c>
      <c r="E27" s="7"/>
      <c r="F27" s="7"/>
      <c r="G27" s="1">
        <v>3</v>
      </c>
      <c r="H27" s="4" t="str">
        <f t="shared" si="3"/>
        <v>Отпечатки пальцев на внутренней стороне экрана (#screen_LCD_6)</v>
      </c>
    </row>
    <row r="28" spans="1:8" x14ac:dyDescent="0.25">
      <c r="A28" s="9" t="s">
        <v>270</v>
      </c>
      <c r="B28" s="4" t="s">
        <v>193</v>
      </c>
      <c r="C28" s="4" t="s">
        <v>196</v>
      </c>
      <c r="D28" s="6" t="s">
        <v>21</v>
      </c>
      <c r="E28" s="6"/>
      <c r="F28" s="6"/>
      <c r="G28" s="1"/>
      <c r="H28" s="1"/>
    </row>
    <row r="29" spans="1:8" x14ac:dyDescent="0.25">
      <c r="A29" s="9" t="s">
        <v>271</v>
      </c>
      <c r="B29" s="4" t="s">
        <v>194</v>
      </c>
      <c r="C29" s="4" t="s">
        <v>197</v>
      </c>
      <c r="D29" s="6" t="s">
        <v>20</v>
      </c>
      <c r="E29" s="6"/>
      <c r="F29" s="6"/>
      <c r="G29" s="1"/>
      <c r="H29" s="1"/>
    </row>
    <row r="30" spans="1:8" ht="45" x14ac:dyDescent="0.25">
      <c r="A30" s="9" t="s">
        <v>272</v>
      </c>
      <c r="B30" s="4" t="s">
        <v>195</v>
      </c>
      <c r="C30" s="4" t="s">
        <v>198</v>
      </c>
      <c r="D30" s="18" t="s">
        <v>192</v>
      </c>
      <c r="E30" s="6"/>
      <c r="F30" s="6"/>
      <c r="G30" s="1">
        <v>3</v>
      </c>
      <c r="H30" s="4" t="str">
        <f t="shared" ref="H30:H46" si="4">D30&amp;" ("&amp;B30&amp;")"</f>
        <v>Отсутствует(ют) световод(ы) АЭ (РЭ) (#light_ guide_3)</v>
      </c>
    </row>
    <row r="31" spans="1:8" ht="45" x14ac:dyDescent="0.25">
      <c r="A31" s="9" t="s">
        <v>273</v>
      </c>
      <c r="B31" s="4" t="s">
        <v>258</v>
      </c>
      <c r="C31" s="4" t="s">
        <v>259</v>
      </c>
      <c r="D31" s="19" t="s">
        <v>180</v>
      </c>
      <c r="E31" s="6"/>
      <c r="F31" s="6"/>
      <c r="G31" s="1">
        <v>3</v>
      </c>
      <c r="H31" s="4" t="str">
        <f t="shared" si="4"/>
        <v>Тусклый свет на светодиоде АЭ (#light_ guide_4)</v>
      </c>
    </row>
    <row r="32" spans="1:8" ht="30" x14ac:dyDescent="0.25">
      <c r="A32" s="9" t="s">
        <v>274</v>
      </c>
      <c r="B32" s="4" t="s">
        <v>54</v>
      </c>
      <c r="C32" s="4" t="s">
        <v>88</v>
      </c>
      <c r="D32" s="18" t="s">
        <v>86</v>
      </c>
      <c r="E32" s="6"/>
      <c r="F32" s="6"/>
      <c r="G32" s="1">
        <v>2</v>
      </c>
      <c r="H32" s="4" t="str">
        <f t="shared" si="4"/>
        <v>Засветы (белые пятна) на ЖКИ (#LCD_1)</v>
      </c>
    </row>
    <row r="33" spans="1:8" ht="30" x14ac:dyDescent="0.25">
      <c r="A33" s="9" t="s">
        <v>275</v>
      </c>
      <c r="B33" s="4" t="s">
        <v>55</v>
      </c>
      <c r="C33" s="4" t="s">
        <v>89</v>
      </c>
      <c r="D33" s="18" t="s">
        <v>24</v>
      </c>
      <c r="E33" s="6"/>
      <c r="F33" s="6"/>
      <c r="G33" s="1">
        <v>2</v>
      </c>
      <c r="H33" s="4" t="str">
        <f t="shared" si="4"/>
        <v>Криво установлено ЖКИ (#LCD_2)</v>
      </c>
    </row>
    <row r="34" spans="1:8" ht="60" x14ac:dyDescent="0.25">
      <c r="A34" s="9" t="s">
        <v>276</v>
      </c>
      <c r="B34" s="4" t="s">
        <v>56</v>
      </c>
      <c r="C34" s="4" t="s">
        <v>90</v>
      </c>
      <c r="D34" s="18" t="s">
        <v>26</v>
      </c>
      <c r="E34" s="6"/>
      <c r="F34" s="6"/>
      <c r="G34" s="1">
        <v>2</v>
      </c>
      <c r="H34" s="4" t="str">
        <f t="shared" si="4"/>
        <v>ЖКИ смещено относительной рамки крышки (просвет) (#LCD_3)</v>
      </c>
    </row>
    <row r="35" spans="1:8" ht="30" x14ac:dyDescent="0.25">
      <c r="A35" s="9" t="s">
        <v>277</v>
      </c>
      <c r="B35" s="4" t="s">
        <v>57</v>
      </c>
      <c r="C35" s="4" t="s">
        <v>199</v>
      </c>
      <c r="D35" s="19" t="s">
        <v>173</v>
      </c>
      <c r="E35" s="6"/>
      <c r="F35" s="6"/>
      <c r="G35" s="1">
        <v>3</v>
      </c>
      <c r="H35" s="4" t="str">
        <f t="shared" si="4"/>
        <v>Не включается подсветка ЖКИ (#LCD_4)</v>
      </c>
    </row>
    <row r="36" spans="1:8" ht="30" x14ac:dyDescent="0.25">
      <c r="A36" s="9" t="s">
        <v>278</v>
      </c>
      <c r="B36" s="4" t="s">
        <v>212</v>
      </c>
      <c r="C36" s="4" t="s">
        <v>213</v>
      </c>
      <c r="D36" s="19" t="s">
        <v>172</v>
      </c>
      <c r="E36" s="6"/>
      <c r="F36" s="6"/>
      <c r="G36" s="1">
        <v>3</v>
      </c>
      <c r="H36" s="4" t="str">
        <f t="shared" si="4"/>
        <v>Не все сегменты светятся на ЖКИ (#LCD_5)</v>
      </c>
    </row>
    <row r="37" spans="1:8" ht="45" x14ac:dyDescent="0.25">
      <c r="A37" s="9" t="s">
        <v>279</v>
      </c>
      <c r="B37" s="4" t="s">
        <v>214</v>
      </c>
      <c r="C37" s="4" t="s">
        <v>215</v>
      </c>
      <c r="D37" s="19" t="s">
        <v>179</v>
      </c>
      <c r="E37" s="6"/>
      <c r="F37" s="6"/>
      <c r="G37" s="1">
        <v>3</v>
      </c>
      <c r="H37" s="4" t="str">
        <f t="shared" si="4"/>
        <v>Нечеткое отображение символов на ЖКИ (#LCD_6)</v>
      </c>
    </row>
    <row r="38" spans="1:8" ht="45" x14ac:dyDescent="0.25">
      <c r="A38" s="9" t="s">
        <v>280</v>
      </c>
      <c r="B38" s="4" t="s">
        <v>236</v>
      </c>
      <c r="C38" s="4" t="s">
        <v>237</v>
      </c>
      <c r="D38" s="18" t="s">
        <v>178</v>
      </c>
      <c r="E38" s="6"/>
      <c r="F38" s="6"/>
      <c r="G38" s="1">
        <v>3</v>
      </c>
      <c r="H38" s="4" t="str">
        <f t="shared" si="4"/>
        <v>Отсутствуют все символы на ЖКИ, подсветка ЖКИ работает (#LCD_7)</v>
      </c>
    </row>
    <row r="39" spans="1:8" ht="30" x14ac:dyDescent="0.25">
      <c r="A39" s="9" t="s">
        <v>281</v>
      </c>
      <c r="B39" s="4" t="s">
        <v>58</v>
      </c>
      <c r="C39" s="4" t="s">
        <v>91</v>
      </c>
      <c r="D39" s="18" t="s">
        <v>118</v>
      </c>
      <c r="E39" s="6"/>
      <c r="F39" s="6"/>
      <c r="G39" s="1">
        <v>2</v>
      </c>
      <c r="H39" s="4" t="str">
        <f t="shared" si="4"/>
        <v>Плохой контакт кнопки "Меню" (#btn_MENU_1)</v>
      </c>
    </row>
    <row r="40" spans="1:8" ht="30" x14ac:dyDescent="0.25">
      <c r="A40" s="9" t="s">
        <v>282</v>
      </c>
      <c r="B40" s="4" t="s">
        <v>59</v>
      </c>
      <c r="C40" s="4" t="s">
        <v>92</v>
      </c>
      <c r="D40" s="18" t="s">
        <v>14</v>
      </c>
      <c r="E40" s="6"/>
      <c r="F40" s="6"/>
      <c r="G40" s="1">
        <v>2</v>
      </c>
      <c r="H40" s="4" t="str">
        <f t="shared" si="4"/>
        <v>Не работает кнопка "Меню" (#btn_MENU_2)</v>
      </c>
    </row>
    <row r="41" spans="1:8" ht="30" x14ac:dyDescent="0.25">
      <c r="A41" s="9" t="s">
        <v>283</v>
      </c>
      <c r="B41" s="4" t="s">
        <v>60</v>
      </c>
      <c r="C41" s="4" t="s">
        <v>93</v>
      </c>
      <c r="D41" s="18" t="s">
        <v>2</v>
      </c>
      <c r="E41" s="6"/>
      <c r="F41" s="6"/>
      <c r="G41" s="1">
        <v>2</v>
      </c>
      <c r="H41" s="4" t="str">
        <f t="shared" si="4"/>
        <v>Отсутствует кнопка "Меню" (#btn_MENU_3)</v>
      </c>
    </row>
    <row r="42" spans="1:8" ht="30" x14ac:dyDescent="0.25">
      <c r="A42" s="9" t="s">
        <v>284</v>
      </c>
      <c r="B42" s="4" t="s">
        <v>61</v>
      </c>
      <c r="C42" s="4" t="s">
        <v>94</v>
      </c>
      <c r="D42" s="18" t="s">
        <v>7</v>
      </c>
      <c r="E42" s="6"/>
      <c r="F42" s="6"/>
      <c r="G42" s="1">
        <v>3</v>
      </c>
      <c r="H42" s="4" t="str">
        <f t="shared" si="4"/>
        <v>Залипает кнопка "Меню" (#btn_MENU_4)</v>
      </c>
    </row>
    <row r="43" spans="1:8" ht="30" x14ac:dyDescent="0.25">
      <c r="A43" s="9" t="s">
        <v>285</v>
      </c>
      <c r="B43" s="4" t="s">
        <v>62</v>
      </c>
      <c r="C43" s="4" t="s">
        <v>95</v>
      </c>
      <c r="D43" s="18" t="s">
        <v>119</v>
      </c>
      <c r="E43" s="6"/>
      <c r="F43" s="6"/>
      <c r="G43" s="1">
        <v>2</v>
      </c>
      <c r="H43" s="4" t="str">
        <f t="shared" si="4"/>
        <v>Плохой контакт кнопки "Парам" (#btn_PARAM_1)</v>
      </c>
    </row>
    <row r="44" spans="1:8" ht="30" x14ac:dyDescent="0.25">
      <c r="A44" s="9" t="s">
        <v>286</v>
      </c>
      <c r="B44" s="4" t="s">
        <v>63</v>
      </c>
      <c r="C44" s="4" t="s">
        <v>96</v>
      </c>
      <c r="D44" s="18" t="s">
        <v>15</v>
      </c>
      <c r="E44" s="6"/>
      <c r="F44" s="6"/>
      <c r="G44" s="1">
        <v>2</v>
      </c>
      <c r="H44" s="4" t="str">
        <f t="shared" si="4"/>
        <v>Не работает кнопка "Парам" (#btn_PARAM_2)</v>
      </c>
    </row>
    <row r="45" spans="1:8" ht="30" x14ac:dyDescent="0.25">
      <c r="A45" s="9" t="s">
        <v>287</v>
      </c>
      <c r="B45" s="4" t="s">
        <v>64</v>
      </c>
      <c r="C45" s="4" t="s">
        <v>97</v>
      </c>
      <c r="D45" s="18" t="s">
        <v>3</v>
      </c>
      <c r="E45" s="2"/>
      <c r="F45" s="6"/>
      <c r="G45" s="1">
        <v>2</v>
      </c>
      <c r="H45" s="4" t="str">
        <f t="shared" si="4"/>
        <v>Отсутствует кнопка "Парам" (#btn_PARAM_3)</v>
      </c>
    </row>
    <row r="46" spans="1:8" ht="30" x14ac:dyDescent="0.25">
      <c r="A46" s="9" t="s">
        <v>288</v>
      </c>
      <c r="B46" s="4" t="s">
        <v>65</v>
      </c>
      <c r="C46" s="4" t="s">
        <v>98</v>
      </c>
      <c r="D46" s="18" t="s">
        <v>8</v>
      </c>
      <c r="E46" s="6"/>
      <c r="F46" s="6"/>
      <c r="G46" s="1">
        <v>3</v>
      </c>
      <c r="H46" s="4" t="str">
        <f t="shared" si="4"/>
        <v>Залипает кнопка "Парам" (#btn_PARAM_4)</v>
      </c>
    </row>
    <row r="47" spans="1:8" x14ac:dyDescent="0.25">
      <c r="A47" s="9" t="s">
        <v>289</v>
      </c>
      <c r="B47" s="4" t="s">
        <v>66</v>
      </c>
      <c r="C47" s="4" t="s">
        <v>239</v>
      </c>
      <c r="D47" s="6" t="s">
        <v>4</v>
      </c>
      <c r="E47" s="6"/>
      <c r="F47" s="6"/>
      <c r="G47" s="1"/>
      <c r="H47" s="1"/>
    </row>
    <row r="48" spans="1:8" ht="30" x14ac:dyDescent="0.25">
      <c r="A48" s="9" t="s">
        <v>290</v>
      </c>
      <c r="B48" s="4" t="s">
        <v>67</v>
      </c>
      <c r="C48" s="4" t="s">
        <v>238</v>
      </c>
      <c r="D48" s="20" t="s">
        <v>182</v>
      </c>
      <c r="E48" s="6"/>
      <c r="F48" s="6"/>
      <c r="G48" s="1">
        <v>3</v>
      </c>
      <c r="H48" s="4" t="str">
        <f>D48&amp;" ("&amp;B48&amp;")"</f>
        <v>Сломан верхний концевик (#upper_contact_2)</v>
      </c>
    </row>
    <row r="49" spans="1:8" x14ac:dyDescent="0.25">
      <c r="A49" s="9" t="s">
        <v>291</v>
      </c>
      <c r="B49" s="4" t="s">
        <v>68</v>
      </c>
      <c r="C49" s="4" t="s">
        <v>240</v>
      </c>
      <c r="D49" s="6" t="s">
        <v>32</v>
      </c>
      <c r="E49" s="6"/>
      <c r="F49" s="6"/>
      <c r="G49" s="1"/>
      <c r="H49" s="1"/>
    </row>
    <row r="50" spans="1:8" x14ac:dyDescent="0.25">
      <c r="A50" s="9" t="s">
        <v>292</v>
      </c>
      <c r="B50" s="4" t="s">
        <v>209</v>
      </c>
      <c r="C50" s="4" t="s">
        <v>241</v>
      </c>
      <c r="D50" s="6" t="s">
        <v>33</v>
      </c>
      <c r="E50" s="6"/>
      <c r="F50" s="6"/>
      <c r="G50" s="1"/>
      <c r="H50" s="1"/>
    </row>
    <row r="51" spans="1:8" ht="30" x14ac:dyDescent="0.25">
      <c r="A51" s="9" t="s">
        <v>293</v>
      </c>
      <c r="B51" s="4" t="s">
        <v>69</v>
      </c>
      <c r="C51" s="4" t="s">
        <v>99</v>
      </c>
      <c r="D51" s="18" t="s">
        <v>9</v>
      </c>
      <c r="E51" s="6"/>
      <c r="F51" s="6"/>
      <c r="G51" s="1">
        <v>2</v>
      </c>
      <c r="H51" s="4" t="str">
        <f t="shared" ref="H51:H52" si="5">D51&amp;" ("&amp;B51&amp;")"</f>
        <v>Залипает нижний концевик (#lower_contact_1)</v>
      </c>
    </row>
    <row r="52" spans="1:8" ht="30" x14ac:dyDescent="0.25">
      <c r="A52" s="9" t="s">
        <v>294</v>
      </c>
      <c r="B52" s="4" t="s">
        <v>70</v>
      </c>
      <c r="C52" s="4" t="s">
        <v>242</v>
      </c>
      <c r="D52" s="20" t="s">
        <v>181</v>
      </c>
      <c r="E52" s="6"/>
      <c r="F52" s="6"/>
      <c r="G52" s="1">
        <v>3</v>
      </c>
      <c r="H52" s="4" t="str">
        <f t="shared" si="5"/>
        <v>Сломан нижний концевик (#lower_contact_2)</v>
      </c>
    </row>
    <row r="53" spans="1:8" x14ac:dyDescent="0.25">
      <c r="A53" s="9" t="s">
        <v>295</v>
      </c>
      <c r="B53" s="4" t="s">
        <v>71</v>
      </c>
      <c r="C53" s="4" t="s">
        <v>243</v>
      </c>
      <c r="D53" s="6" t="s">
        <v>34</v>
      </c>
      <c r="E53" s="6"/>
      <c r="F53" s="6"/>
      <c r="G53" s="1"/>
      <c r="H53" s="1"/>
    </row>
    <row r="54" spans="1:8" x14ac:dyDescent="0.25">
      <c r="A54" s="9" t="s">
        <v>296</v>
      </c>
      <c r="B54" s="4" t="s">
        <v>208</v>
      </c>
      <c r="C54" s="4" t="s">
        <v>244</v>
      </c>
      <c r="D54" s="6" t="s">
        <v>35</v>
      </c>
      <c r="E54" s="6"/>
      <c r="F54" s="6"/>
      <c r="G54" s="1"/>
      <c r="H54" s="1"/>
    </row>
    <row r="55" spans="1:8" x14ac:dyDescent="0.25">
      <c r="A55" s="9" t="s">
        <v>297</v>
      </c>
      <c r="B55" s="4" t="s">
        <v>85</v>
      </c>
      <c r="C55" s="4"/>
      <c r="D55" s="6" t="s">
        <v>27</v>
      </c>
      <c r="E55" s="6"/>
      <c r="F55" s="6"/>
      <c r="G55" s="1"/>
      <c r="H55" s="1"/>
    </row>
    <row r="56" spans="1:8" ht="45" x14ac:dyDescent="0.25">
      <c r="A56" s="9" t="s">
        <v>298</v>
      </c>
      <c r="B56" s="4" t="s">
        <v>72</v>
      </c>
      <c r="C56" s="4" t="s">
        <v>200</v>
      </c>
      <c r="D56" s="18" t="s">
        <v>28</v>
      </c>
      <c r="E56" s="6"/>
      <c r="F56" s="6"/>
      <c r="G56" s="1">
        <v>3</v>
      </c>
      <c r="H56" s="4" t="str">
        <f t="shared" ref="H56:H58" si="6">D56&amp;" ("&amp;B56&amp;")"</f>
        <v>Нечеткий ход переключателя блокировки реле (#relay_1)</v>
      </c>
    </row>
    <row r="57" spans="1:8" ht="30" x14ac:dyDescent="0.25">
      <c r="A57" s="9" t="s">
        <v>299</v>
      </c>
      <c r="B57" s="4" t="s">
        <v>73</v>
      </c>
      <c r="C57" s="4" t="s">
        <v>201</v>
      </c>
      <c r="D57" s="18" t="s">
        <v>29</v>
      </c>
      <c r="E57" s="6"/>
      <c r="F57" s="6"/>
      <c r="G57" s="1">
        <v>3</v>
      </c>
      <c r="H57" s="4" t="str">
        <f t="shared" si="6"/>
        <v>Реле не переключается (#relay_2)</v>
      </c>
    </row>
    <row r="58" spans="1:8" ht="60" x14ac:dyDescent="0.25">
      <c r="A58" s="9" t="s">
        <v>300</v>
      </c>
      <c r="B58" s="4" t="s">
        <v>74</v>
      </c>
      <c r="C58" s="4" t="s">
        <v>202</v>
      </c>
      <c r="D58" s="18" t="s">
        <v>219</v>
      </c>
      <c r="E58" s="6"/>
      <c r="F58" s="6"/>
      <c r="G58" s="1">
        <v>3</v>
      </c>
      <c r="H58" s="4" t="str">
        <f t="shared" si="6"/>
        <v>Ручка переключателя блокир.реле расположена вровень с корпусом (#relay_3)</v>
      </c>
    </row>
    <row r="59" spans="1:8" x14ac:dyDescent="0.25">
      <c r="A59" s="9" t="s">
        <v>301</v>
      </c>
      <c r="B59" s="4" t="s">
        <v>75</v>
      </c>
      <c r="C59" s="4" t="s">
        <v>203</v>
      </c>
      <c r="D59" s="6" t="s">
        <v>41</v>
      </c>
      <c r="E59" s="6"/>
      <c r="F59" s="6"/>
      <c r="G59" s="1"/>
      <c r="H59" s="1"/>
    </row>
    <row r="60" spans="1:8" x14ac:dyDescent="0.25">
      <c r="A60" s="9" t="s">
        <v>302</v>
      </c>
      <c r="B60" s="4" t="s">
        <v>217</v>
      </c>
      <c r="C60" s="4" t="s">
        <v>218</v>
      </c>
      <c r="D60" s="6" t="s">
        <v>42</v>
      </c>
      <c r="E60" s="6"/>
      <c r="F60" s="6"/>
      <c r="G60" s="1"/>
      <c r="H60" s="1"/>
    </row>
    <row r="61" spans="1:8" ht="45" x14ac:dyDescent="0.25">
      <c r="A61" s="9" t="s">
        <v>303</v>
      </c>
      <c r="B61" s="4" t="s">
        <v>76</v>
      </c>
      <c r="C61" s="4" t="s">
        <v>100</v>
      </c>
      <c r="D61" s="18" t="s">
        <v>30</v>
      </c>
      <c r="E61" s="6"/>
      <c r="F61" s="6"/>
      <c r="G61" s="1">
        <v>2</v>
      </c>
      <c r="H61" s="4" t="str">
        <f t="shared" ref="H61:H67" si="7">D61&amp;" ("&amp;B61&amp;")"</f>
        <v>Нет связи со счетчиком через оптопорт (#optoport_1)</v>
      </c>
    </row>
    <row r="62" spans="1:8" ht="60" x14ac:dyDescent="0.25">
      <c r="A62" s="9" t="s">
        <v>304</v>
      </c>
      <c r="B62" s="4" t="s">
        <v>77</v>
      </c>
      <c r="C62" s="4" t="s">
        <v>117</v>
      </c>
      <c r="D62" s="18" t="s">
        <v>36</v>
      </c>
      <c r="E62" s="6"/>
      <c r="F62" s="6"/>
      <c r="G62" s="1">
        <v>3</v>
      </c>
      <c r="H62" s="4" t="str">
        <f t="shared" si="7"/>
        <v>Серийный номер в памяти счетчика не совпадает с номером на крышке (#other_1)</v>
      </c>
    </row>
    <row r="63" spans="1:8" ht="30" x14ac:dyDescent="0.25">
      <c r="A63" s="9" t="s">
        <v>305</v>
      </c>
      <c r="B63" s="4" t="s">
        <v>78</v>
      </c>
      <c r="C63" s="4" t="s">
        <v>116</v>
      </c>
      <c r="D63" s="18" t="s">
        <v>10</v>
      </c>
      <c r="E63" s="6"/>
      <c r="F63" s="6"/>
      <c r="G63" s="1">
        <v>2</v>
      </c>
      <c r="H63" s="4" t="str">
        <f t="shared" si="7"/>
        <v>Старое ПО счетчика (#other_2)</v>
      </c>
    </row>
    <row r="64" spans="1:8" ht="45" x14ac:dyDescent="0.25">
      <c r="A64" s="9" t="s">
        <v>306</v>
      </c>
      <c r="B64" s="4" t="s">
        <v>79</v>
      </c>
      <c r="C64" s="4" t="s">
        <v>103</v>
      </c>
      <c r="D64" s="18" t="s">
        <v>31</v>
      </c>
      <c r="E64" s="6"/>
      <c r="F64" s="6"/>
      <c r="G64" s="1">
        <v>2</v>
      </c>
      <c r="H64" s="4" t="str">
        <f t="shared" si="7"/>
        <v>Не включается счетчик при подаче напряжения (#other_3)</v>
      </c>
    </row>
    <row r="65" spans="1:8" ht="45" x14ac:dyDescent="0.25">
      <c r="A65" s="9" t="s">
        <v>307</v>
      </c>
      <c r="B65" s="4" t="s">
        <v>245</v>
      </c>
      <c r="C65" s="4" t="s">
        <v>246</v>
      </c>
      <c r="D65" s="19" t="s">
        <v>174</v>
      </c>
      <c r="E65" s="6"/>
      <c r="F65" s="6"/>
      <c r="G65" s="1">
        <v>3</v>
      </c>
      <c r="H65" s="4" t="str">
        <f t="shared" si="7"/>
        <v>Конфигурация счетчика не соответствует требуемой (#other_4)</v>
      </c>
    </row>
    <row r="66" spans="1:8" ht="60" x14ac:dyDescent="0.25">
      <c r="A66" s="9" t="s">
        <v>308</v>
      </c>
      <c r="B66" s="4" t="s">
        <v>247</v>
      </c>
      <c r="C66" s="4" t="s">
        <v>248</v>
      </c>
      <c r="D66" s="19" t="s">
        <v>175</v>
      </c>
      <c r="E66" s="6"/>
      <c r="F66" s="6"/>
      <c r="G66" s="1">
        <v>3</v>
      </c>
      <c r="H66" s="4" t="str">
        <f t="shared" si="7"/>
        <v>При откл. напряжения счетчик продолжает отображать информацию на ЖКИ (#other_5)</v>
      </c>
    </row>
    <row r="67" spans="1:8" ht="75" x14ac:dyDescent="0.25">
      <c r="A67" s="9" t="s">
        <v>309</v>
      </c>
      <c r="B67" s="4" t="s">
        <v>249</v>
      </c>
      <c r="C67" s="4" t="s">
        <v>250</v>
      </c>
      <c r="D67" s="19" t="s">
        <v>263</v>
      </c>
      <c r="E67" s="6"/>
      <c r="F67" s="6"/>
      <c r="G67" s="1">
        <v>3</v>
      </c>
      <c r="H67" s="4" t="str">
        <f t="shared" si="7"/>
        <v>Показания активной энергии для 3ф. сч-ка превышают 20 кВтч, для 1 ф.сч-ка - 10 кВтч (#other_6)</v>
      </c>
    </row>
    <row r="68" spans="1:8" x14ac:dyDescent="0.25">
      <c r="A68" s="9" t="s">
        <v>310</v>
      </c>
      <c r="B68" s="4" t="s">
        <v>80</v>
      </c>
      <c r="C68" s="4" t="s">
        <v>147</v>
      </c>
      <c r="D68" s="6" t="s">
        <v>252</v>
      </c>
      <c r="E68" s="6"/>
      <c r="F68" s="6"/>
      <c r="G68" s="1"/>
      <c r="H68" s="1"/>
    </row>
    <row r="69" spans="1:8" x14ac:dyDescent="0.25">
      <c r="A69" s="9" t="s">
        <v>311</v>
      </c>
      <c r="B69" s="4" t="s">
        <v>81</v>
      </c>
      <c r="C69" s="4" t="s">
        <v>148</v>
      </c>
      <c r="D69" s="6" t="s">
        <v>39</v>
      </c>
      <c r="E69" s="6"/>
      <c r="F69" s="6"/>
      <c r="G69" s="1"/>
      <c r="H69" s="1"/>
    </row>
    <row r="70" spans="1:8" x14ac:dyDescent="0.25">
      <c r="A70" s="9" t="s">
        <v>312</v>
      </c>
      <c r="B70" s="4" t="s">
        <v>82</v>
      </c>
      <c r="C70" s="4" t="s">
        <v>149</v>
      </c>
      <c r="D70" s="6" t="s">
        <v>11</v>
      </c>
      <c r="E70" s="6"/>
      <c r="F70" s="6"/>
      <c r="G70" s="1"/>
      <c r="H70" s="1"/>
    </row>
    <row r="71" spans="1:8" x14ac:dyDescent="0.25">
      <c r="A71" s="9" t="s">
        <v>313</v>
      </c>
      <c r="B71" s="4" t="s">
        <v>83</v>
      </c>
      <c r="C71" s="4" t="s">
        <v>150</v>
      </c>
      <c r="D71" s="6" t="s">
        <v>251</v>
      </c>
      <c r="E71" s="6"/>
      <c r="F71" s="6"/>
      <c r="G71" s="1"/>
      <c r="H71" s="1"/>
    </row>
    <row r="72" spans="1:8" x14ac:dyDescent="0.25">
      <c r="A72" s="9" t="s">
        <v>314</v>
      </c>
      <c r="B72" s="4" t="s">
        <v>84</v>
      </c>
      <c r="C72" s="4" t="s">
        <v>151</v>
      </c>
      <c r="D72" s="6" t="s">
        <v>40</v>
      </c>
      <c r="E72" s="6"/>
      <c r="F72" s="6"/>
      <c r="G72" s="1"/>
      <c r="H72" s="1"/>
    </row>
    <row r="73" spans="1:8" x14ac:dyDescent="0.25">
      <c r="A73" s="9" t="s">
        <v>315</v>
      </c>
      <c r="B73" s="4" t="s">
        <v>204</v>
      </c>
      <c r="C73" s="4" t="s">
        <v>205</v>
      </c>
      <c r="D73" s="6" t="s">
        <v>184</v>
      </c>
      <c r="E73" s="6"/>
      <c r="F73" s="6"/>
      <c r="G73" s="1"/>
      <c r="H73" s="1"/>
    </row>
    <row r="74" spans="1:8" x14ac:dyDescent="0.25">
      <c r="A74" s="9" t="s">
        <v>316</v>
      </c>
      <c r="B74" s="4" t="s">
        <v>206</v>
      </c>
      <c r="C74" s="4" t="s">
        <v>207</v>
      </c>
      <c r="D74" s="6" t="s">
        <v>37</v>
      </c>
      <c r="E74" s="6"/>
      <c r="F74" s="6"/>
      <c r="G74" s="1"/>
      <c r="H74" s="1"/>
    </row>
    <row r="75" spans="1:8" ht="30" x14ac:dyDescent="0.25">
      <c r="A75" s="10" t="s">
        <v>130</v>
      </c>
      <c r="B75" s="3" t="s">
        <v>135</v>
      </c>
      <c r="C75" s="3" t="s">
        <v>138</v>
      </c>
      <c r="D75" s="8" t="s">
        <v>133</v>
      </c>
      <c r="E75" s="8" t="s">
        <v>146</v>
      </c>
      <c r="F75" s="2" t="s">
        <v>141</v>
      </c>
      <c r="H75" s="2"/>
    </row>
    <row r="76" spans="1:8" ht="30" x14ac:dyDescent="0.25">
      <c r="A76" s="21" t="s">
        <v>317</v>
      </c>
      <c r="B76" s="3" t="s">
        <v>136</v>
      </c>
      <c r="C76" s="3" t="s">
        <v>139</v>
      </c>
      <c r="D76" s="8" t="s">
        <v>134</v>
      </c>
      <c r="E76" s="8" t="s">
        <v>146</v>
      </c>
      <c r="F76" s="2" t="s">
        <v>142</v>
      </c>
      <c r="H76" s="2"/>
    </row>
    <row r="77" spans="1:8" ht="30" x14ac:dyDescent="0.25">
      <c r="A77" s="21" t="s">
        <v>318</v>
      </c>
      <c r="B77" s="3" t="s">
        <v>137</v>
      </c>
      <c r="C77" s="3" t="s">
        <v>140</v>
      </c>
      <c r="D77" s="8" t="s">
        <v>131</v>
      </c>
      <c r="E77" s="8" t="s">
        <v>146</v>
      </c>
      <c r="F77" s="2" t="s">
        <v>143</v>
      </c>
      <c r="H77" s="2"/>
    </row>
    <row r="78" spans="1:8" ht="30" x14ac:dyDescent="0.25">
      <c r="A78" s="10" t="s">
        <v>319</v>
      </c>
      <c r="B78" s="3" t="s">
        <v>257</v>
      </c>
      <c r="C78" s="3" t="s">
        <v>256</v>
      </c>
      <c r="D78" s="8" t="s">
        <v>253</v>
      </c>
      <c r="F78" s="8">
        <v>216</v>
      </c>
      <c r="H78" s="2"/>
    </row>
    <row r="79" spans="1:8" ht="45" x14ac:dyDescent="0.25">
      <c r="A79" s="10" t="s">
        <v>320</v>
      </c>
      <c r="B79" s="3" t="s">
        <v>257</v>
      </c>
      <c r="C79" s="3" t="s">
        <v>256</v>
      </c>
      <c r="D79" s="8" t="s">
        <v>254</v>
      </c>
      <c r="F79" s="8" t="s">
        <v>255</v>
      </c>
      <c r="H79" s="2"/>
    </row>
    <row r="80" spans="1:8" x14ac:dyDescent="0.25">
      <c r="A80" s="21"/>
      <c r="H80" s="2"/>
    </row>
    <row r="81" spans="1:6" s="2" customFormat="1" x14ac:dyDescent="0.25">
      <c r="A81" s="21"/>
      <c r="B81" s="3"/>
      <c r="C81" s="3"/>
      <c r="D81" s="8"/>
      <c r="E81" s="8"/>
      <c r="F81" s="8"/>
    </row>
  </sheetData>
  <autoFilter ref="A4:G81"/>
  <printOptions horizontalCentered="1"/>
  <pageMargins left="0.39370078740157483" right="0.39370078740157483" top="0.39370078740157483" bottom="0.39370078740157483" header="0.31496062992125984" footer="0.31496062992125984"/>
  <pageSetup paperSize="9" orientation="portrait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5" sqref="E25"/>
    </sheetView>
  </sheetViews>
  <sheetFormatPr defaultRowHeight="15" x14ac:dyDescent="0.25"/>
  <cols>
    <col min="1" max="1" width="5.28515625" style="11" customWidth="1"/>
    <col min="2" max="2" width="52.28515625" style="8" bestFit="1" customWidth="1"/>
    <col min="3" max="3" width="9.140625" style="11"/>
    <col min="4" max="4" width="4.42578125" style="11" customWidth="1"/>
    <col min="5" max="5" width="52.42578125" style="11" customWidth="1"/>
    <col min="6" max="16384" width="9.140625" style="11"/>
  </cols>
  <sheetData>
    <row r="1" spans="1:5" x14ac:dyDescent="0.25">
      <c r="A1" s="38" t="s">
        <v>154</v>
      </c>
      <c r="B1" s="38"/>
      <c r="C1" s="38"/>
      <c r="D1" s="38"/>
      <c r="E1" s="38"/>
    </row>
    <row r="2" spans="1:5" x14ac:dyDescent="0.25">
      <c r="B2" s="11"/>
    </row>
    <row r="3" spans="1:5" ht="30" x14ac:dyDescent="0.25">
      <c r="A3" s="12" t="s">
        <v>152</v>
      </c>
      <c r="B3" s="12" t="s">
        <v>153</v>
      </c>
      <c r="D3" s="12" t="s">
        <v>152</v>
      </c>
      <c r="E3" s="12" t="s">
        <v>153</v>
      </c>
    </row>
    <row r="4" spans="1:5" x14ac:dyDescent="0.25">
      <c r="A4" s="12">
        <v>1</v>
      </c>
      <c r="B4" s="6" t="s">
        <v>0</v>
      </c>
      <c r="D4" s="12">
        <f>A32+1</f>
        <v>30</v>
      </c>
      <c r="E4" s="6" t="s">
        <v>4</v>
      </c>
    </row>
    <row r="5" spans="1:5" x14ac:dyDescent="0.25">
      <c r="A5" s="12">
        <f>A4+1</f>
        <v>2</v>
      </c>
      <c r="B5" s="6" t="s">
        <v>5</v>
      </c>
      <c r="D5" s="12">
        <f t="shared" ref="D5:D24" si="0">D4+1</f>
        <v>31</v>
      </c>
      <c r="E5" s="6" t="s">
        <v>32</v>
      </c>
    </row>
    <row r="6" spans="1:5" x14ac:dyDescent="0.25">
      <c r="A6" s="12">
        <f t="shared" ref="A6:A32" si="1">A5+1</f>
        <v>3</v>
      </c>
      <c r="B6" s="6" t="s">
        <v>12</v>
      </c>
      <c r="D6" s="12">
        <f t="shared" si="0"/>
        <v>32</v>
      </c>
      <c r="E6" s="6" t="s">
        <v>33</v>
      </c>
    </row>
    <row r="7" spans="1:5" x14ac:dyDescent="0.25">
      <c r="A7" s="12">
        <f t="shared" si="1"/>
        <v>4</v>
      </c>
      <c r="B7" s="6" t="s">
        <v>16</v>
      </c>
      <c r="D7" s="12">
        <f t="shared" si="0"/>
        <v>33</v>
      </c>
      <c r="E7" s="6" t="s">
        <v>9</v>
      </c>
    </row>
    <row r="8" spans="1:5" x14ac:dyDescent="0.25">
      <c r="A8" s="12">
        <f t="shared" si="1"/>
        <v>5</v>
      </c>
      <c r="B8" s="6" t="s">
        <v>109</v>
      </c>
      <c r="D8" s="12">
        <f t="shared" si="0"/>
        <v>34</v>
      </c>
      <c r="E8" s="6" t="s">
        <v>34</v>
      </c>
    </row>
    <row r="9" spans="1:5" x14ac:dyDescent="0.25">
      <c r="A9" s="12">
        <f t="shared" si="1"/>
        <v>6</v>
      </c>
      <c r="B9" s="6" t="s">
        <v>1</v>
      </c>
      <c r="D9" s="12">
        <f t="shared" si="0"/>
        <v>35</v>
      </c>
      <c r="E9" s="6" t="s">
        <v>35</v>
      </c>
    </row>
    <row r="10" spans="1:5" x14ac:dyDescent="0.25">
      <c r="A10" s="12">
        <f t="shared" si="1"/>
        <v>7</v>
      </c>
      <c r="B10" s="6" t="s">
        <v>6</v>
      </c>
      <c r="D10" s="12">
        <f t="shared" si="0"/>
        <v>36</v>
      </c>
      <c r="E10" s="6" t="s">
        <v>27</v>
      </c>
    </row>
    <row r="11" spans="1:5" x14ac:dyDescent="0.25">
      <c r="A11" s="12">
        <f t="shared" si="1"/>
        <v>8</v>
      </c>
      <c r="B11" s="6" t="s">
        <v>13</v>
      </c>
      <c r="D11" s="12">
        <f t="shared" si="0"/>
        <v>37</v>
      </c>
      <c r="E11" s="6" t="s">
        <v>28</v>
      </c>
    </row>
    <row r="12" spans="1:5" ht="30" x14ac:dyDescent="0.25">
      <c r="A12" s="12">
        <f t="shared" si="1"/>
        <v>9</v>
      </c>
      <c r="B12" s="6" t="s">
        <v>17</v>
      </c>
      <c r="D12" s="12">
        <f t="shared" si="0"/>
        <v>38</v>
      </c>
      <c r="E12" s="6" t="s">
        <v>41</v>
      </c>
    </row>
    <row r="13" spans="1:5" x14ac:dyDescent="0.25">
      <c r="A13" s="12">
        <f t="shared" si="1"/>
        <v>10</v>
      </c>
      <c r="B13" s="6" t="s">
        <v>22</v>
      </c>
      <c r="D13" s="12">
        <f t="shared" si="0"/>
        <v>39</v>
      </c>
      <c r="E13" s="6" t="s">
        <v>42</v>
      </c>
    </row>
    <row r="14" spans="1:5" x14ac:dyDescent="0.25">
      <c r="A14" s="12">
        <f t="shared" si="1"/>
        <v>11</v>
      </c>
      <c r="B14" s="6" t="s">
        <v>104</v>
      </c>
      <c r="D14" s="12">
        <f t="shared" si="0"/>
        <v>40</v>
      </c>
      <c r="E14" s="6" t="s">
        <v>29</v>
      </c>
    </row>
    <row r="15" spans="1:5" x14ac:dyDescent="0.25">
      <c r="A15" s="12">
        <f t="shared" si="1"/>
        <v>12</v>
      </c>
      <c r="B15" s="6" t="s">
        <v>23</v>
      </c>
      <c r="D15" s="12">
        <f t="shared" si="0"/>
        <v>41</v>
      </c>
      <c r="E15" s="6" t="s">
        <v>30</v>
      </c>
    </row>
    <row r="16" spans="1:5" ht="30" x14ac:dyDescent="0.25">
      <c r="A16" s="12">
        <f t="shared" si="1"/>
        <v>13</v>
      </c>
      <c r="B16" s="7" t="s">
        <v>105</v>
      </c>
      <c r="D16" s="12">
        <f t="shared" si="0"/>
        <v>42</v>
      </c>
      <c r="E16" s="6" t="s">
        <v>36</v>
      </c>
    </row>
    <row r="17" spans="1:5" x14ac:dyDescent="0.25">
      <c r="A17" s="12">
        <f t="shared" si="1"/>
        <v>14</v>
      </c>
      <c r="B17" s="6" t="s">
        <v>21</v>
      </c>
      <c r="D17" s="12">
        <f t="shared" si="0"/>
        <v>43</v>
      </c>
      <c r="E17" s="6" t="s">
        <v>10</v>
      </c>
    </row>
    <row r="18" spans="1:5" x14ac:dyDescent="0.25">
      <c r="A18" s="12">
        <f t="shared" si="1"/>
        <v>15</v>
      </c>
      <c r="B18" s="6" t="s">
        <v>20</v>
      </c>
      <c r="D18" s="12">
        <f t="shared" si="0"/>
        <v>44</v>
      </c>
      <c r="E18" s="6" t="s">
        <v>31</v>
      </c>
    </row>
    <row r="19" spans="1:5" x14ac:dyDescent="0.25">
      <c r="A19" s="12">
        <f t="shared" si="1"/>
        <v>16</v>
      </c>
      <c r="B19" s="6" t="s">
        <v>86</v>
      </c>
      <c r="D19" s="12">
        <f t="shared" si="0"/>
        <v>45</v>
      </c>
      <c r="E19" s="6" t="s">
        <v>38</v>
      </c>
    </row>
    <row r="20" spans="1:5" x14ac:dyDescent="0.25">
      <c r="A20" s="12">
        <f t="shared" si="1"/>
        <v>17</v>
      </c>
      <c r="B20" s="6" t="s">
        <v>24</v>
      </c>
      <c r="D20" s="12">
        <f t="shared" si="0"/>
        <v>46</v>
      </c>
      <c r="E20" s="6" t="s">
        <v>39</v>
      </c>
    </row>
    <row r="21" spans="1:5" x14ac:dyDescent="0.25">
      <c r="A21" s="12">
        <f t="shared" si="1"/>
        <v>18</v>
      </c>
      <c r="B21" s="6" t="s">
        <v>26</v>
      </c>
      <c r="D21" s="12">
        <f t="shared" si="0"/>
        <v>47</v>
      </c>
      <c r="E21" s="6" t="s">
        <v>11</v>
      </c>
    </row>
    <row r="22" spans="1:5" x14ac:dyDescent="0.25">
      <c r="A22" s="12">
        <f t="shared" si="1"/>
        <v>19</v>
      </c>
      <c r="B22" s="6" t="s">
        <v>25</v>
      </c>
      <c r="D22" s="12">
        <f t="shared" si="0"/>
        <v>48</v>
      </c>
      <c r="E22" s="6" t="s">
        <v>40</v>
      </c>
    </row>
    <row r="23" spans="1:5" x14ac:dyDescent="0.25">
      <c r="A23" s="12">
        <f t="shared" si="1"/>
        <v>20</v>
      </c>
      <c r="B23" s="6" t="s">
        <v>118</v>
      </c>
      <c r="D23" s="12">
        <f t="shared" si="0"/>
        <v>49</v>
      </c>
      <c r="E23" s="13" t="s">
        <v>37</v>
      </c>
    </row>
    <row r="24" spans="1:5" x14ac:dyDescent="0.25">
      <c r="A24" s="12">
        <f t="shared" si="1"/>
        <v>21</v>
      </c>
      <c r="B24" s="6" t="s">
        <v>14</v>
      </c>
      <c r="D24" s="12">
        <f t="shared" si="0"/>
        <v>50</v>
      </c>
      <c r="E24" s="14" t="s">
        <v>155</v>
      </c>
    </row>
    <row r="25" spans="1:5" x14ac:dyDescent="0.25">
      <c r="A25" s="12">
        <f t="shared" si="1"/>
        <v>22</v>
      </c>
      <c r="B25" s="6" t="s">
        <v>18</v>
      </c>
    </row>
    <row r="26" spans="1:5" x14ac:dyDescent="0.25">
      <c r="A26" s="12">
        <f t="shared" si="1"/>
        <v>23</v>
      </c>
      <c r="B26" s="6" t="s">
        <v>7</v>
      </c>
    </row>
    <row r="27" spans="1:5" x14ac:dyDescent="0.25">
      <c r="A27" s="12">
        <f t="shared" si="1"/>
        <v>24</v>
      </c>
      <c r="B27" s="6" t="s">
        <v>2</v>
      </c>
    </row>
    <row r="28" spans="1:5" x14ac:dyDescent="0.25">
      <c r="A28" s="12">
        <f t="shared" si="1"/>
        <v>25</v>
      </c>
      <c r="B28" s="6" t="s">
        <v>119</v>
      </c>
    </row>
    <row r="29" spans="1:5" x14ac:dyDescent="0.25">
      <c r="A29" s="12">
        <f t="shared" si="1"/>
        <v>26</v>
      </c>
      <c r="B29" s="6" t="s">
        <v>15</v>
      </c>
    </row>
    <row r="30" spans="1:5" x14ac:dyDescent="0.25">
      <c r="A30" s="12">
        <f t="shared" si="1"/>
        <v>27</v>
      </c>
      <c r="B30" s="6" t="s">
        <v>19</v>
      </c>
    </row>
    <row r="31" spans="1:5" x14ac:dyDescent="0.25">
      <c r="A31" s="12">
        <f t="shared" si="1"/>
        <v>28</v>
      </c>
      <c r="B31" s="6" t="s">
        <v>8</v>
      </c>
    </row>
    <row r="32" spans="1:5" x14ac:dyDescent="0.25">
      <c r="A32" s="12">
        <f t="shared" si="1"/>
        <v>29</v>
      </c>
      <c r="B32" s="6" t="s">
        <v>3</v>
      </c>
    </row>
  </sheetData>
  <mergeCells count="1">
    <mergeCell ref="A1:E1"/>
  </mergeCells>
  <printOptions horizontalCentered="1"/>
  <pageMargins left="0.39370078740157483" right="0.39370078740157483" top="0.39370078740157483" bottom="0.39370078740157483" header="0.31496062992125984" footer="0.31496062992125984"/>
  <pageSetup paperSize="9" orientation="landscape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6"/>
  <sheetViews>
    <sheetView tabSelected="1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C17" sqref="C17"/>
    </sheetView>
  </sheetViews>
  <sheetFormatPr defaultRowHeight="15" x14ac:dyDescent="0.25"/>
  <cols>
    <col min="1" max="1" width="14" bestFit="1" customWidth="1"/>
    <col min="2" max="2" width="11.42578125" bestFit="1" customWidth="1"/>
    <col min="3" max="3" width="38" style="30" customWidth="1"/>
    <col min="4" max="4" width="37.5703125" style="31" customWidth="1"/>
    <col min="5" max="5" width="44.7109375" style="32" customWidth="1"/>
    <col min="6" max="6" width="40.140625" customWidth="1"/>
    <col min="7" max="7" width="23" bestFit="1" customWidth="1"/>
  </cols>
  <sheetData>
    <row r="4" spans="1:7" x14ac:dyDescent="0.25">
      <c r="A4" s="33" t="s">
        <v>344</v>
      </c>
    </row>
    <row r="5" spans="1:7" x14ac:dyDescent="0.25">
      <c r="A5" s="30"/>
    </row>
    <row r="6" spans="1:7" x14ac:dyDescent="0.25">
      <c r="A6" s="34">
        <v>9</v>
      </c>
      <c r="B6" s="30" t="s">
        <v>170</v>
      </c>
    </row>
    <row r="8" spans="1:7" ht="75" x14ac:dyDescent="0.25">
      <c r="A8" s="35" t="s">
        <v>345</v>
      </c>
      <c r="B8" s="35" t="s">
        <v>346</v>
      </c>
      <c r="C8" s="23" t="s">
        <v>349</v>
      </c>
      <c r="D8" s="25" t="s">
        <v>353</v>
      </c>
      <c r="E8" s="25" t="s">
        <v>322</v>
      </c>
      <c r="F8" s="25" t="s">
        <v>355</v>
      </c>
      <c r="G8" s="23" t="s">
        <v>323</v>
      </c>
    </row>
    <row r="9" spans="1:7" x14ac:dyDescent="0.25">
      <c r="A9" s="36" t="s">
        <v>347</v>
      </c>
      <c r="B9" s="36" t="s">
        <v>348</v>
      </c>
      <c r="C9" s="23" t="s">
        <v>359</v>
      </c>
      <c r="D9" s="24" t="s">
        <v>350</v>
      </c>
      <c r="E9" s="25" t="s">
        <v>351</v>
      </c>
      <c r="F9" s="25" t="s">
        <v>358</v>
      </c>
      <c r="G9" s="23" t="s">
        <v>352</v>
      </c>
    </row>
    <row r="10" spans="1:7" ht="30" x14ac:dyDescent="0.25">
      <c r="A10" s="37">
        <v>45775</v>
      </c>
      <c r="B10" s="37">
        <v>73050</v>
      </c>
      <c r="C10" s="26" t="s">
        <v>324</v>
      </c>
      <c r="D10" s="27" t="s">
        <v>325</v>
      </c>
      <c r="E10" s="28" t="s">
        <v>326</v>
      </c>
      <c r="F10" s="26"/>
      <c r="G10" s="26" t="s">
        <v>327</v>
      </c>
    </row>
    <row r="11" spans="1:7" ht="30" x14ac:dyDescent="0.25">
      <c r="A11" s="37">
        <v>45775</v>
      </c>
      <c r="B11" s="37">
        <v>73050</v>
      </c>
      <c r="C11" s="26" t="s">
        <v>328</v>
      </c>
      <c r="D11" s="27" t="s">
        <v>329</v>
      </c>
      <c r="E11" s="28" t="s">
        <v>330</v>
      </c>
      <c r="F11" s="26" t="s">
        <v>354</v>
      </c>
      <c r="G11" s="26"/>
    </row>
    <row r="12" spans="1:7" ht="30" x14ac:dyDescent="0.25">
      <c r="A12" s="37">
        <v>45775</v>
      </c>
      <c r="B12" s="37">
        <v>73050</v>
      </c>
      <c r="C12" s="26" t="s">
        <v>331</v>
      </c>
      <c r="D12" s="27" t="s">
        <v>332</v>
      </c>
      <c r="E12" s="28"/>
      <c r="F12" s="26"/>
      <c r="G12" s="26" t="s">
        <v>333</v>
      </c>
    </row>
    <row r="13" spans="1:7" ht="45" x14ac:dyDescent="0.25">
      <c r="A13" s="37">
        <v>45775</v>
      </c>
      <c r="B13" s="37">
        <v>73050</v>
      </c>
      <c r="C13" s="26" t="s">
        <v>334</v>
      </c>
      <c r="D13" s="27" t="s">
        <v>335</v>
      </c>
      <c r="E13" s="28" t="s">
        <v>336</v>
      </c>
      <c r="F13" s="26" t="s">
        <v>356</v>
      </c>
      <c r="G13" s="26"/>
    </row>
    <row r="14" spans="1:7" ht="45" x14ac:dyDescent="0.25">
      <c r="A14" s="37">
        <v>45775</v>
      </c>
      <c r="B14" s="37">
        <v>73050</v>
      </c>
      <c r="C14" s="26" t="s">
        <v>337</v>
      </c>
      <c r="D14" s="27" t="s">
        <v>338</v>
      </c>
      <c r="E14" s="28" t="s">
        <v>339</v>
      </c>
      <c r="F14" s="26" t="s">
        <v>357</v>
      </c>
      <c r="G14" s="26"/>
    </row>
    <row r="15" spans="1:7" ht="30" x14ac:dyDescent="0.25">
      <c r="A15" s="37">
        <v>45775</v>
      </c>
      <c r="B15" s="37">
        <v>73050</v>
      </c>
      <c r="C15" s="26" t="s">
        <v>340</v>
      </c>
      <c r="D15" s="29" t="s">
        <v>341</v>
      </c>
      <c r="E15" s="28"/>
      <c r="F15" s="26"/>
      <c r="G15" s="26" t="s">
        <v>333</v>
      </c>
    </row>
    <row r="16" spans="1:7" ht="30" x14ac:dyDescent="0.25">
      <c r="A16" s="37">
        <v>45775</v>
      </c>
      <c r="B16" s="37">
        <v>73050</v>
      </c>
      <c r="C16" s="26" t="s">
        <v>361</v>
      </c>
      <c r="D16" s="29" t="s">
        <v>343</v>
      </c>
      <c r="E16" s="28" t="s">
        <v>360</v>
      </c>
      <c r="F16" s="26" t="s">
        <v>342</v>
      </c>
      <c r="G16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QR</vt:lpstr>
      <vt:lpstr>QR (2)</vt:lpstr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2025-04-30T08:52:19Z</dcterms:modified>
</cp:coreProperties>
</file>