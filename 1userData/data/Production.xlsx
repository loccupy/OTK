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defaultThemeVersion="124226"/>
  <xr:revisionPtr revIDLastSave="0" documentId="13_ncr:1_{840BB6C9-5C02-4B96-9995-02F278B239CB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1 ф.сч.пр." sheetId="4" r:id="rId1"/>
    <sheet name="3 ф.сч.пр." sheetId="7" r:id="rId2"/>
    <sheet name="3 ф.сч.тр." sheetId="8" r:id="rId3"/>
    <sheet name="Календарь" sheetId="6" r:id="rId4"/>
    <sheet name="Списки" sheetId="5" r:id="rId5"/>
    <sheet name="Вид изделия" sheetId="9" r:id="rId6"/>
  </sheets>
  <externalReferences>
    <externalReference r:id="rId7"/>
  </externalReferences>
  <definedNames>
    <definedName name="_xlnm._FilterDatabase" localSheetId="0" hidden="1">'1 ф.сч.пр.'!$A$10:$O$10</definedName>
    <definedName name="_xlnm._FilterDatabase" localSheetId="1" hidden="1">'3 ф.сч.пр.'!$A$10:$O$10</definedName>
    <definedName name="_xlnm._FilterDatabase" localSheetId="2" hidden="1">'3 ф.сч.тр.'!$A$10:$O$10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9" l="1"/>
  <c r="C1" i="9" s="1"/>
  <c r="D1" i="9" s="1"/>
  <c r="C12" i="8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A11" i="8"/>
  <c r="A12" i="8" s="1"/>
  <c r="O9" i="8"/>
  <c r="N9" i="8"/>
  <c r="M9" i="8"/>
  <c r="L9" i="8"/>
  <c r="K9" i="8"/>
  <c r="J9" i="8"/>
  <c r="I9" i="8"/>
  <c r="H9" i="8"/>
  <c r="G9" i="8"/>
  <c r="F9" i="8"/>
  <c r="E9" i="8"/>
  <c r="D9" i="8"/>
  <c r="E8" i="8"/>
  <c r="F8" i="8" s="1"/>
  <c r="G8" i="8" s="1"/>
  <c r="H8" i="8" s="1"/>
  <c r="I8" i="8" s="1"/>
  <c r="J8" i="8" s="1"/>
  <c r="K8" i="8" s="1"/>
  <c r="L8" i="8" s="1"/>
  <c r="M8" i="8" s="1"/>
  <c r="N8" i="8" s="1"/>
  <c r="O8" i="8" s="1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C12" i="7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B41" i="7" s="1"/>
  <c r="Q41" i="7" s="1"/>
  <c r="O9" i="7"/>
  <c r="N9" i="7"/>
  <c r="M9" i="7"/>
  <c r="L9" i="7"/>
  <c r="K9" i="7"/>
  <c r="J9" i="7"/>
  <c r="I9" i="7"/>
  <c r="H9" i="7"/>
  <c r="G9" i="7"/>
  <c r="F9" i="7"/>
  <c r="E9" i="7"/>
  <c r="D9" i="7"/>
  <c r="E8" i="7"/>
  <c r="F8" i="7" s="1"/>
  <c r="G8" i="7" s="1"/>
  <c r="H8" i="7" s="1"/>
  <c r="I8" i="7" s="1"/>
  <c r="J8" i="7" s="1"/>
  <c r="K8" i="7" s="1"/>
  <c r="L8" i="7" s="1"/>
  <c r="M8" i="7" s="1"/>
  <c r="N8" i="7" s="1"/>
  <c r="O8" i="7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M70" i="6"/>
  <c r="J70" i="6"/>
  <c r="D70" i="6"/>
  <c r="G70" i="6" s="1"/>
  <c r="M69" i="6"/>
  <c r="J69" i="6"/>
  <c r="D69" i="6"/>
  <c r="G69" i="6" s="1"/>
  <c r="M68" i="6"/>
  <c r="J68" i="6"/>
  <c r="D68" i="6"/>
  <c r="G68" i="6" s="1"/>
  <c r="M67" i="6"/>
  <c r="J67" i="6"/>
  <c r="Q67" i="6" s="1"/>
  <c r="D67" i="6"/>
  <c r="G67" i="6" s="1"/>
  <c r="M66" i="6"/>
  <c r="J66" i="6"/>
  <c r="Q66" i="6" s="1"/>
  <c r="D66" i="6"/>
  <c r="G66" i="6" s="1"/>
  <c r="U59" i="6"/>
  <c r="U58" i="6"/>
  <c r="V57" i="6"/>
  <c r="V59" i="6" s="1" a="1"/>
  <c r="P55" i="6"/>
  <c r="P54" i="6"/>
  <c r="P53" i="6"/>
  <c r="P42" i="6"/>
  <c r="P41" i="6"/>
  <c r="P40" i="6"/>
  <c r="P29" i="6"/>
  <c r="R29" i="6" s="1"/>
  <c r="P28" i="6"/>
  <c r="R28" i="6" s="1"/>
  <c r="P27" i="6"/>
  <c r="R27" i="6" s="1"/>
  <c r="Q69" i="6" l="1"/>
  <c r="S67" i="6"/>
  <c r="V58" i="6" a="1"/>
  <c r="V58" i="6" s="1"/>
  <c r="R55" i="6"/>
  <c r="T55" i="6" s="1"/>
  <c r="Q70" i="6"/>
  <c r="S70" i="6" s="1"/>
  <c r="Q68" i="6"/>
  <c r="S68" i="6" s="1"/>
  <c r="R53" i="6"/>
  <c r="T53" i="6" s="1"/>
  <c r="R54" i="6"/>
  <c r="S66" i="6"/>
  <c r="V59" i="6"/>
  <c r="B11" i="8"/>
  <c r="Q11" i="8" s="1"/>
  <c r="B12" i="8"/>
  <c r="Q12" i="8" s="1"/>
  <c r="A13" i="8"/>
  <c r="B13" i="7"/>
  <c r="Q13" i="7" s="1"/>
  <c r="B15" i="7"/>
  <c r="Q15" i="7" s="1"/>
  <c r="B17" i="7"/>
  <c r="Q17" i="7" s="1"/>
  <c r="B19" i="7"/>
  <c r="Q19" i="7" s="1"/>
  <c r="B21" i="7"/>
  <c r="Q21" i="7" s="1"/>
  <c r="B23" i="7"/>
  <c r="Q23" i="7" s="1"/>
  <c r="B25" i="7"/>
  <c r="Q25" i="7" s="1"/>
  <c r="B27" i="7"/>
  <c r="Q27" i="7" s="1"/>
  <c r="B29" i="7"/>
  <c r="Q29" i="7" s="1"/>
  <c r="B32" i="7"/>
  <c r="Q32" i="7" s="1"/>
  <c r="B36" i="7"/>
  <c r="Q36" i="7" s="1"/>
  <c r="B40" i="7"/>
  <c r="Q40" i="7" s="1"/>
  <c r="B11" i="7"/>
  <c r="Q11" i="7" s="1"/>
  <c r="B33" i="7"/>
  <c r="Q33" i="7" s="1"/>
  <c r="B37" i="7"/>
  <c r="Q37" i="7" s="1"/>
  <c r="B12" i="7"/>
  <c r="Q12" i="7" s="1"/>
  <c r="B14" i="7"/>
  <c r="Q14" i="7" s="1"/>
  <c r="B16" i="7"/>
  <c r="Q16" i="7" s="1"/>
  <c r="B18" i="7"/>
  <c r="Q18" i="7" s="1"/>
  <c r="B20" i="7"/>
  <c r="Q20" i="7" s="1"/>
  <c r="B22" i="7"/>
  <c r="Q22" i="7" s="1"/>
  <c r="B24" i="7"/>
  <c r="Q24" i="7" s="1"/>
  <c r="B26" i="7"/>
  <c r="Q26" i="7" s="1"/>
  <c r="B28" i="7"/>
  <c r="Q28" i="7" s="1"/>
  <c r="B30" i="7"/>
  <c r="Q30" i="7" s="1"/>
  <c r="B34" i="7"/>
  <c r="Q34" i="7" s="1"/>
  <c r="B38" i="7"/>
  <c r="Q38" i="7" s="1"/>
  <c r="B31" i="7"/>
  <c r="Q31" i="7" s="1"/>
  <c r="B35" i="7"/>
  <c r="Q35" i="7" s="1"/>
  <c r="B39" i="7"/>
  <c r="Q39" i="7" s="1"/>
  <c r="T54" i="6"/>
  <c r="S69" i="6"/>
  <c r="B13" i="8" l="1"/>
  <c r="Q13" i="8" s="1"/>
  <c r="A14" i="8"/>
  <c r="A11" i="4"/>
  <c r="B14" i="8" l="1"/>
  <c r="Q14" i="8" s="1"/>
  <c r="A15" i="8"/>
  <c r="B11" i="4"/>
  <c r="C12" i="4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E8" i="4"/>
  <c r="F8" i="4" s="1"/>
  <c r="G8" i="4" s="1"/>
  <c r="H8" i="4" s="1"/>
  <c r="I8" i="4" s="1"/>
  <c r="J8" i="4" s="1"/>
  <c r="K8" i="4" s="1"/>
  <c r="L8" i="4" s="1"/>
  <c r="M8" i="4" s="1"/>
  <c r="N8" i="4" s="1"/>
  <c r="O8" i="4" s="1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B15" i="8" l="1"/>
  <c r="Q15" i="8" s="1"/>
  <c r="A16" i="8"/>
  <c r="Q11" i="4"/>
  <c r="I9" i="4"/>
  <c r="A12" i="4"/>
  <c r="B12" i="4" s="1"/>
  <c r="B16" i="8" l="1"/>
  <c r="Q16" i="8" s="1"/>
  <c r="A17" i="8"/>
  <c r="Q12" i="4"/>
  <c r="A13" i="4"/>
  <c r="B13" i="4" s="1"/>
  <c r="B17" i="8" l="1"/>
  <c r="Q17" i="8" s="1"/>
  <c r="A18" i="8"/>
  <c r="Q13" i="4"/>
  <c r="A14" i="4"/>
  <c r="B14" i="4" s="1"/>
  <c r="B18" i="8" l="1"/>
  <c r="Q18" i="8" s="1"/>
  <c r="A19" i="8"/>
  <c r="Q14" i="4"/>
  <c r="A15" i="4"/>
  <c r="B15" i="4" s="1"/>
  <c r="B19" i="8" l="1"/>
  <c r="Q19" i="8" s="1"/>
  <c r="A20" i="8"/>
  <c r="Q15" i="4"/>
  <c r="A16" i="4"/>
  <c r="B16" i="4" s="1"/>
  <c r="B20" i="8" l="1"/>
  <c r="Q20" i="8" s="1"/>
  <c r="A21" i="8"/>
  <c r="Q16" i="4"/>
  <c r="A17" i="4"/>
  <c r="B17" i="4" s="1"/>
  <c r="B21" i="8" l="1"/>
  <c r="Q21" i="8" s="1"/>
  <c r="A22" i="8"/>
  <c r="Q17" i="4"/>
  <c r="A18" i="4"/>
  <c r="B18" i="4" s="1"/>
  <c r="B22" i="8" l="1"/>
  <c r="Q22" i="8" s="1"/>
  <c r="A23" i="8"/>
  <c r="Q18" i="4"/>
  <c r="A19" i="4"/>
  <c r="B19" i="4" s="1"/>
  <c r="B23" i="8" l="1"/>
  <c r="Q23" i="8" s="1"/>
  <c r="A24" i="8"/>
  <c r="Q19" i="4"/>
  <c r="A20" i="4"/>
  <c r="B20" i="4" s="1"/>
  <c r="B24" i="8" l="1"/>
  <c r="Q24" i="8" s="1"/>
  <c r="A25" i="8"/>
  <c r="Q20" i="4"/>
  <c r="A21" i="4"/>
  <c r="B21" i="4" s="1"/>
  <c r="B25" i="8" l="1"/>
  <c r="Q25" i="8" s="1"/>
  <c r="A26" i="8"/>
  <c r="Q21" i="4"/>
  <c r="A22" i="4"/>
  <c r="B22" i="4" s="1"/>
  <c r="B26" i="8" l="1"/>
  <c r="Q26" i="8" s="1"/>
  <c r="A27" i="8"/>
  <c r="Q22" i="4"/>
  <c r="A23" i="4"/>
  <c r="B23" i="4" s="1"/>
  <c r="B27" i="8" l="1"/>
  <c r="Q27" i="8" s="1"/>
  <c r="A28" i="8"/>
  <c r="Q23" i="4"/>
  <c r="A24" i="4"/>
  <c r="B24" i="4" s="1"/>
  <c r="B28" i="8" l="1"/>
  <c r="Q28" i="8" s="1"/>
  <c r="A29" i="8"/>
  <c r="Q24" i="4"/>
  <c r="A25" i="4"/>
  <c r="B25" i="4" s="1"/>
  <c r="B29" i="8" l="1"/>
  <c r="Q29" i="8" s="1"/>
  <c r="A30" i="8"/>
  <c r="Q25" i="4"/>
  <c r="A26" i="4"/>
  <c r="B26" i="4" s="1"/>
  <c r="B30" i="8" l="1"/>
  <c r="Q30" i="8" s="1"/>
  <c r="A31" i="8"/>
  <c r="Q26" i="4"/>
  <c r="A27" i="4"/>
  <c r="B27" i="4" s="1"/>
  <c r="B31" i="8" l="1"/>
  <c r="Q31" i="8" s="1"/>
  <c r="A32" i="8"/>
  <c r="Q27" i="4"/>
  <c r="A28" i="4"/>
  <c r="B28" i="4" s="1"/>
  <c r="B32" i="8" l="1"/>
  <c r="Q32" i="8" s="1"/>
  <c r="A33" i="8"/>
  <c r="Q28" i="4"/>
  <c r="A29" i="4"/>
  <c r="B29" i="4" s="1"/>
  <c r="B33" i="8" l="1"/>
  <c r="Q33" i="8" s="1"/>
  <c r="A34" i="8"/>
  <c r="Q29" i="4"/>
  <c r="A30" i="4"/>
  <c r="B30" i="4" s="1"/>
  <c r="B34" i="8" l="1"/>
  <c r="Q34" i="8" s="1"/>
  <c r="A35" i="8"/>
  <c r="Q30" i="4"/>
  <c r="A31" i="4"/>
  <c r="B31" i="4" s="1"/>
  <c r="B35" i="8" l="1"/>
  <c r="Q35" i="8" s="1"/>
  <c r="A36" i="8"/>
  <c r="Q31" i="4"/>
  <c r="A32" i="4"/>
  <c r="B32" i="4" s="1"/>
  <c r="B36" i="8" l="1"/>
  <c r="Q36" i="8" s="1"/>
  <c r="A37" i="8"/>
  <c r="Q32" i="4"/>
  <c r="A33" i="4"/>
  <c r="B33" i="4" s="1"/>
  <c r="B37" i="8" l="1"/>
  <c r="Q37" i="8" s="1"/>
  <c r="A38" i="8"/>
  <c r="Q33" i="4"/>
  <c r="A34" i="4"/>
  <c r="B34" i="4" s="1"/>
  <c r="B38" i="8" l="1"/>
  <c r="Q38" i="8" s="1"/>
  <c r="A39" i="8"/>
  <c r="Q34" i="4"/>
  <c r="A35" i="4"/>
  <c r="B35" i="4" s="1"/>
  <c r="B39" i="8" l="1"/>
  <c r="Q39" i="8" s="1"/>
  <c r="A40" i="8"/>
  <c r="Q35" i="4"/>
  <c r="A36" i="4"/>
  <c r="B36" i="4" s="1"/>
  <c r="B40" i="8" l="1"/>
  <c r="Q40" i="8" s="1"/>
  <c r="A41" i="8"/>
  <c r="B41" i="8" s="1"/>
  <c r="Q41" i="8" s="1"/>
  <c r="Q36" i="4"/>
  <c r="A37" i="4"/>
  <c r="B37" i="4" s="1"/>
  <c r="Q37" i="4" l="1"/>
  <c r="A38" i="4"/>
  <c r="A39" i="4" s="1"/>
  <c r="A40" i="4" s="1"/>
  <c r="B38" i="4" l="1"/>
  <c r="A41" i="4" l="1"/>
  <c r="Q38" i="4"/>
  <c r="B39" i="4"/>
  <c r="B40" i="4" l="1"/>
  <c r="Q39" i="4"/>
  <c r="B41" i="4"/>
  <c r="Q40" i="4" l="1"/>
  <c r="D9" i="4"/>
  <c r="E9" i="4"/>
  <c r="F9" i="4"/>
  <c r="Q41" i="4"/>
  <c r="O9" i="4"/>
  <c r="M9" i="4"/>
  <c r="L9" i="4"/>
  <c r="N9" i="4"/>
  <c r="J9" i="4"/>
  <c r="K9" i="4"/>
  <c r="G9" i="4" l="1"/>
  <c r="H9" i="4"/>
</calcChain>
</file>

<file path=xl/sharedStrings.xml><?xml version="1.0" encoding="utf-8"?>
<sst xmlns="http://schemas.openxmlformats.org/spreadsheetml/2006/main" count="240" uniqueCount="120">
  <si>
    <t>Код изделия</t>
  </si>
  <si>
    <t>0008</t>
  </si>
  <si>
    <t>0114</t>
  </si>
  <si>
    <t>0203</t>
  </si>
  <si>
    <t>Итого:</t>
  </si>
  <si>
    <t>&lt;-Строка, откуда начинаются данные для программы</t>
  </si>
  <si>
    <t>День</t>
  </si>
  <si>
    <t>Месяц</t>
  </si>
  <si>
    <t>День недели</t>
  </si>
  <si>
    <t>Дата</t>
  </si>
  <si>
    <t>Годовой план производства 1 ф. ПУ</t>
  </si>
  <si>
    <t>&lt;-Столбец, откуда начинаются данные для программы</t>
  </si>
  <si>
    <t>Шаблон расчета план. зн-я</t>
  </si>
  <si>
    <t>июль</t>
  </si>
  <si>
    <t>январь</t>
  </si>
  <si>
    <t>февраль</t>
  </si>
  <si>
    <t>март</t>
  </si>
  <si>
    <t>апрель</t>
  </si>
  <si>
    <t>май</t>
  </si>
  <si>
    <t>июнь</t>
  </si>
  <si>
    <t>август</t>
  </si>
  <si>
    <t>сентябрь</t>
  </si>
  <si>
    <t>октябрь</t>
  </si>
  <si>
    <t>ноябрь</t>
  </si>
  <si>
    <t>декабрь</t>
  </si>
  <si>
    <t>ПРОИЗВОДСТВЕННЫЙ КАЛЕНДАРЬ на 2024 год</t>
  </si>
  <si>
    <t>для работодателей, осуществляющих деятельность на территории Республики Татарстан</t>
  </si>
  <si>
    <t>1 КВАРТАЛ</t>
  </si>
  <si>
    <t>ЯНВАРЬ</t>
  </si>
  <si>
    <t>ФЕВРАЛЬ</t>
  </si>
  <si>
    <t>МАРТ</t>
  </si>
  <si>
    <t>Понедельник</t>
  </si>
  <si>
    <t>Вторник</t>
  </si>
  <si>
    <t>Среда</t>
  </si>
  <si>
    <t>Четверг</t>
  </si>
  <si>
    <t>22*</t>
  </si>
  <si>
    <t>7*</t>
  </si>
  <si>
    <t xml:space="preserve">Пятница </t>
  </si>
  <si>
    <t>Суббота</t>
  </si>
  <si>
    <t>Воскресенье</t>
  </si>
  <si>
    <t>Январь</t>
  </si>
  <si>
    <t>Февраль</t>
  </si>
  <si>
    <t>Март</t>
  </si>
  <si>
    <t>1 квартал</t>
  </si>
  <si>
    <t>Календарные дни</t>
  </si>
  <si>
    <t>Рабочие дни</t>
  </si>
  <si>
    <t>Выходные и праздничные дни</t>
  </si>
  <si>
    <t>II КВАРТАЛ</t>
  </si>
  <si>
    <t>АПРЕЛЬ</t>
  </si>
  <si>
    <t>МАЙ</t>
  </si>
  <si>
    <t>ИЮНЬ</t>
  </si>
  <si>
    <t xml:space="preserve">  9*</t>
  </si>
  <si>
    <t>11*</t>
  </si>
  <si>
    <t xml:space="preserve">  8*</t>
  </si>
  <si>
    <t>II квартал</t>
  </si>
  <si>
    <t>1 полугодие</t>
  </si>
  <si>
    <t>III КВАРТАЛ</t>
  </si>
  <si>
    <t>ИЮЛЬ</t>
  </si>
  <si>
    <t>АВГУСТ</t>
  </si>
  <si>
    <t>СЕНТЯБРЬ</t>
  </si>
  <si>
    <t xml:space="preserve"> 29*</t>
  </si>
  <si>
    <t>III квартал</t>
  </si>
  <si>
    <t>IV КВАРТАЛ</t>
  </si>
  <si>
    <t>ОКТЯБРЬ</t>
  </si>
  <si>
    <t>НОЯБРЬ</t>
  </si>
  <si>
    <t>ДЕКАБРЬ</t>
  </si>
  <si>
    <t xml:space="preserve">  5*</t>
  </si>
  <si>
    <t xml:space="preserve">  2*</t>
  </si>
  <si>
    <t>IV квартал</t>
  </si>
  <si>
    <t>2 полугодие</t>
  </si>
  <si>
    <t>2024 год</t>
  </si>
  <si>
    <t>Рабочее время (в часах)</t>
  </si>
  <si>
    <t>Итого</t>
  </si>
  <si>
    <t>Число рабочих дней</t>
  </si>
  <si>
    <t>40-часовая рабочая неделя</t>
  </si>
  <si>
    <t>39-часовая рабочая неделя</t>
  </si>
  <si>
    <t>36-часовая рабочая неделя</t>
  </si>
  <si>
    <t>35-часовая рабочая неделя</t>
  </si>
  <si>
    <t>24-часовая рабочая неделя</t>
  </si>
  <si>
    <t>1-е полугодие</t>
  </si>
  <si>
    <t>2-е полугодие</t>
  </si>
  <si>
    <r>
      <t xml:space="preserve">             Условные обозначения:    </t>
    </r>
    <r>
      <rPr>
        <b/>
        <sz val="14"/>
        <color theme="4"/>
        <rFont val="Times New Roman"/>
        <family val="1"/>
        <charset val="204"/>
      </rPr>
      <t>Х*</t>
    </r>
    <r>
      <rPr>
        <sz val="14"/>
        <color theme="1"/>
        <rFont val="Times New Roman"/>
        <family val="1"/>
        <charset val="204"/>
      </rPr>
      <t xml:space="preserve"> -  рабочие дни, в которые продолжительность работы сокращается на один час </t>
    </r>
  </si>
  <si>
    <r>
      <rPr>
        <b/>
        <sz val="14"/>
        <color rgb="FFFF0000"/>
        <rFont val="Times New Roman"/>
        <family val="1"/>
        <charset val="204"/>
      </rPr>
      <t>Х</t>
    </r>
    <r>
      <rPr>
        <sz val="14"/>
        <color theme="1"/>
        <rFont val="Times New Roman"/>
        <family val="1"/>
        <charset val="204"/>
      </rPr>
      <t xml:space="preserve"> -    нерабочие праздничные и выходные дни</t>
    </r>
  </si>
  <si>
    <t>Месяц:</t>
  </si>
  <si>
    <t>Годовой план производства 3 ф. ПУ пр. включения</t>
  </si>
  <si>
    <t>Годовой план производства 3 ф. ПУ тр. включения</t>
  </si>
  <si>
    <t>0041</t>
  </si>
  <si>
    <t>0105</t>
  </si>
  <si>
    <t>0100</t>
  </si>
  <si>
    <t>0103</t>
  </si>
  <si>
    <t>0210</t>
  </si>
  <si>
    <t>Дата начала действия записи</t>
  </si>
  <si>
    <t>Дата окончания действия записи</t>
  </si>
  <si>
    <t>0039</t>
  </si>
  <si>
    <t>0205</t>
  </si>
  <si>
    <t>0200</t>
  </si>
  <si>
    <t>0211</t>
  </si>
  <si>
    <t>0212</t>
  </si>
  <si>
    <t>0036</t>
  </si>
  <si>
    <t>Вид изделия</t>
  </si>
  <si>
    <t>1012</t>
  </si>
  <si>
    <t>При добавлении вида изделия нужно создать лист с аналогичным именем для плановых значений</t>
  </si>
  <si>
    <t>1 ф.сч.пр.</t>
  </si>
  <si>
    <t>3 ф.сч.пр.</t>
  </si>
  <si>
    <t>3 ф.сч.тр.</t>
  </si>
  <si>
    <t>МС 3ф.сч.</t>
  </si>
  <si>
    <t>0005</t>
  </si>
  <si>
    <t>1025</t>
  </si>
  <si>
    <t>0014</t>
  </si>
  <si>
    <t>0118</t>
  </si>
  <si>
    <t>0050</t>
  </si>
  <si>
    <t>0220</t>
  </si>
  <si>
    <t>1 ф. прочие</t>
  </si>
  <si>
    <t>3 ф. прочие</t>
  </si>
  <si>
    <t>1 ф. SPLIT</t>
  </si>
  <si>
    <t>3 ф. SPLIT</t>
  </si>
  <si>
    <t>3 ф. тр.</t>
  </si>
  <si>
    <t>Серия ПУ</t>
  </si>
  <si>
    <t>0023</t>
  </si>
  <si>
    <t>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</si>
</sst>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rgb="FF00B0F0"/>
      <name val="Times New Roman"/>
      <family val="1"/>
      <charset val="204"/>
    </font>
    <font>
      <b/>
      <sz val="14"/>
      <color rgb="FF00B0F0"/>
      <name val="Calibri"/>
      <family val="2"/>
      <charset val="204"/>
    </font>
    <font>
      <sz val="14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14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4"/>
      <color theme="4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/>
    <xf numFmtId="0" fontId="6" fillId="0" borderId="1" xfId="0" applyFont="1" applyBorder="1"/>
    <xf numFmtId="0" fontId="6" fillId="0" borderId="10" xfId="0" applyFont="1" applyBorder="1" applyAlignment="1">
      <alignment horizontal="center"/>
    </xf>
    <xf numFmtId="0" fontId="6" fillId="0" borderId="0" xfId="0" applyFont="1"/>
    <xf numFmtId="0" fontId="3" fillId="0" borderId="1" xfId="0" applyFont="1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7" fillId="0" borderId="9" xfId="0" applyFont="1" applyBorder="1" applyAlignment="1">
      <alignment horizontal="right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6" fillId="0" borderId="5" xfId="0" applyFont="1" applyBorder="1"/>
    <xf numFmtId="0" fontId="3" fillId="0" borderId="5" xfId="0" applyFont="1" applyBorder="1"/>
    <xf numFmtId="0" fontId="3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/>
    <xf numFmtId="0" fontId="8" fillId="0" borderId="11" xfId="0" applyFont="1" applyBorder="1" applyAlignment="1">
      <alignment horizontal="center"/>
    </xf>
    <xf numFmtId="0" fontId="6" fillId="0" borderId="3" xfId="0" applyFont="1" applyBorder="1"/>
    <xf numFmtId="0" fontId="12" fillId="0" borderId="11" xfId="0" applyFont="1" applyBorder="1" applyAlignment="1">
      <alignment horizontal="left"/>
    </xf>
    <xf numFmtId="0" fontId="6" fillId="0" borderId="10" xfId="0" applyFont="1" applyBorder="1"/>
    <xf numFmtId="0" fontId="13" fillId="0" borderId="4" xfId="0" applyFont="1" applyBorder="1"/>
    <xf numFmtId="0" fontId="8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3" fillId="0" borderId="1" xfId="0" applyFont="1" applyBorder="1"/>
    <xf numFmtId="0" fontId="9" fillId="0" borderId="1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6" fillId="0" borderId="6" xfId="0" applyFont="1" applyBorder="1"/>
    <xf numFmtId="0" fontId="6" fillId="3" borderId="7" xfId="0" applyFont="1" applyFill="1" applyBorder="1" applyAlignment="1">
      <alignment horizontal="center"/>
    </xf>
    <xf numFmtId="0" fontId="3" fillId="0" borderId="2" xfId="0" applyFont="1" applyBorder="1"/>
    <xf numFmtId="0" fontId="14" fillId="0" borderId="12" xfId="0" applyFont="1" applyBorder="1" applyAlignment="1">
      <alignment horizontal="center"/>
    </xf>
    <xf numFmtId="0" fontId="14" fillId="0" borderId="15" xfId="0" applyFont="1" applyBorder="1"/>
    <xf numFmtId="0" fontId="14" fillId="0" borderId="13" xfId="0" applyFont="1" applyBorder="1"/>
    <xf numFmtId="0" fontId="14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/>
    <xf numFmtId="0" fontId="6" fillId="0" borderId="5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" fontId="0" fillId="0" borderId="0" xfId="0" applyNumberFormat="1" applyAlignment="1">
      <alignment vertical="center"/>
    </xf>
    <xf numFmtId="1" fontId="0" fillId="0" borderId="7" xfId="0" applyNumberForma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3" fontId="1" fillId="0" borderId="17" xfId="0" applyNumberFormat="1" applyFont="1" applyBorder="1" applyAlignment="1">
      <alignment horizontal="right" vertical="center"/>
    </xf>
    <xf numFmtId="1" fontId="0" fillId="0" borderId="17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4" borderId="0" xfId="0" applyFill="1"/>
    <xf numFmtId="14" fontId="0" fillId="4" borderId="0" xfId="0" applyNumberFormat="1" applyFill="1"/>
    <xf numFmtId="14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Promenergo/&#1058;&#1072;&#1073;&#1077;&#1083;&#1100;/2024/&#1058;&#1072;&#1073;&#1077;&#1083;&#1100;_04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ель"/>
      <sheetName val="Сверхурочные"/>
      <sheetName val="Календарь"/>
    </sheetNames>
    <sheetDataSet>
      <sheetData sheetId="0">
        <row r="1">
          <cell r="R1">
            <v>45397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2:A14" totalsRowShown="0">
  <autoFilter ref="A2:A14" xr:uid="{00000000-0009-0000-0100-000001000000}"/>
  <tableColumns count="1">
    <tableColumn id="1" xr3:uid="{00000000-0010-0000-0000-000001000000}" name="Месяц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zoomScale="91" zoomScaleNormal="91" workbookViewId="0">
      <pane xSplit="3" ySplit="10" topLeftCell="D11" activePane="bottomRight" state="frozen"/>
      <selection pane="topRight" activeCell="D1" sqref="D1"/>
      <selection pane="bottomLeft" activeCell="A9" sqref="A9"/>
      <selection pane="bottomRight" activeCell="D34" sqref="D34"/>
    </sheetView>
  </sheetViews>
  <sheetFormatPr defaultRowHeight="15" x14ac:dyDescent="0.25"/>
  <cols>
    <col min="1" max="1" width="10.5703125" style="14" bestFit="1" customWidth="1"/>
    <col min="2" max="2" width="9.140625" style="15"/>
    <col min="3" max="3" width="6.85546875" style="3" bestFit="1" customWidth="1"/>
    <col min="4" max="4" width="9.85546875" style="2" customWidth="1"/>
    <col min="5" max="5" width="8.140625" style="2" customWidth="1"/>
    <col min="6" max="6" width="7.85546875" style="7" customWidth="1"/>
    <col min="7" max="7" width="7.5703125" style="7" customWidth="1"/>
    <col min="8" max="8" width="7.7109375" style="7" customWidth="1"/>
    <col min="9" max="9" width="8" style="7" customWidth="1"/>
    <col min="10" max="10" width="8.5703125" style="7" customWidth="1"/>
    <col min="11" max="11" width="8.85546875" style="7" customWidth="1"/>
    <col min="12" max="12" width="8.42578125" style="7" customWidth="1"/>
    <col min="13" max="13" width="10.28515625" style="7" customWidth="1"/>
    <col min="14" max="14" width="8.85546875" style="7" customWidth="1"/>
    <col min="15" max="15" width="13" style="7" customWidth="1"/>
    <col min="16" max="16" width="9.140625" style="1"/>
    <col min="17" max="17" width="10.5703125" style="1" customWidth="1"/>
    <col min="18" max="19" width="9.140625" style="1"/>
    <col min="20" max="20" width="11.85546875" style="1" bestFit="1" customWidth="1"/>
    <col min="21" max="21" width="10.140625" style="1" bestFit="1" customWidth="1"/>
    <col min="22" max="16384" width="9.140625" style="1"/>
  </cols>
  <sheetData>
    <row r="1" spans="1:21" s="3" customFormat="1" x14ac:dyDescent="0.25">
      <c r="A1" s="3">
        <v>1</v>
      </c>
      <c r="B1" s="3">
        <f>A1+1</f>
        <v>2</v>
      </c>
      <c r="C1" s="3">
        <f t="shared" ref="C1" si="0">B1+1</f>
        <v>3</v>
      </c>
      <c r="D1" s="3">
        <f t="shared" ref="D1" si="1">C1+1</f>
        <v>4</v>
      </c>
      <c r="E1" s="3">
        <f t="shared" ref="E1" si="2">D1+1</f>
        <v>5</v>
      </c>
      <c r="F1" s="3">
        <f t="shared" ref="F1" si="3">E1+1</f>
        <v>6</v>
      </c>
      <c r="G1" s="3">
        <f t="shared" ref="G1" si="4">F1+1</f>
        <v>7</v>
      </c>
      <c r="H1" s="3">
        <f t="shared" ref="H1" si="5">G1+1</f>
        <v>8</v>
      </c>
      <c r="I1" s="3">
        <f t="shared" ref="I1" si="6">H1+1</f>
        <v>9</v>
      </c>
      <c r="J1" s="3">
        <f t="shared" ref="J1" si="7">I1+1</f>
        <v>10</v>
      </c>
      <c r="K1" s="3">
        <f t="shared" ref="K1" si="8">J1+1</f>
        <v>11</v>
      </c>
      <c r="L1" s="3">
        <f t="shared" ref="L1" si="9">K1+1</f>
        <v>12</v>
      </c>
      <c r="M1" s="3">
        <f t="shared" ref="M1" si="10">L1+1</f>
        <v>13</v>
      </c>
      <c r="N1" s="3">
        <f t="shared" ref="N1" si="11">M1+1</f>
        <v>14</v>
      </c>
      <c r="O1" s="3">
        <f t="shared" ref="O1" si="12">N1+1</f>
        <v>15</v>
      </c>
    </row>
    <row r="2" spans="1:21" s="3" customFormat="1" x14ac:dyDescent="0.25">
      <c r="A2" s="125" t="s">
        <v>10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21" s="3" customFormat="1" x14ac:dyDescent="0.25">
      <c r="A3" s="10">
        <v>11</v>
      </c>
      <c r="B3" s="8" t="s">
        <v>5</v>
      </c>
      <c r="E3" s="9"/>
      <c r="F3" s="9"/>
      <c r="G3" s="9"/>
      <c r="H3" s="9"/>
      <c r="I3" s="9"/>
      <c r="J3" s="9"/>
      <c r="K3" s="9"/>
      <c r="M3" s="9"/>
      <c r="N3" s="9"/>
      <c r="O3" s="9"/>
      <c r="U3" s="22"/>
    </row>
    <row r="4" spans="1:21" s="3" customFormat="1" x14ac:dyDescent="0.25">
      <c r="A4" s="10">
        <v>4</v>
      </c>
      <c r="B4" s="8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</row>
    <row r="5" spans="1:21" s="3" customFormat="1" x14ac:dyDescent="0.25">
      <c r="A5" s="21" t="s">
        <v>83</v>
      </c>
      <c r="B5" s="23" t="s">
        <v>19</v>
      </c>
      <c r="C5" s="107"/>
      <c r="E5" s="24"/>
      <c r="G5" s="9"/>
      <c r="J5" s="9"/>
      <c r="K5" s="9"/>
      <c r="L5" s="9"/>
      <c r="M5" s="9"/>
      <c r="N5" s="9"/>
      <c r="O5" s="9"/>
    </row>
    <row r="6" spans="1:21" s="3" customFormat="1" ht="15.75" thickBot="1" x14ac:dyDescent="0.3">
      <c r="B6" s="8"/>
      <c r="F6" s="6"/>
      <c r="G6" s="6"/>
      <c r="H6" s="6"/>
      <c r="I6" s="6"/>
      <c r="J6" s="6"/>
      <c r="K6" s="6"/>
      <c r="L6" s="6"/>
      <c r="M6" s="6"/>
      <c r="N6" s="6"/>
      <c r="O6" s="6"/>
      <c r="Q6" s="12">
        <v>500</v>
      </c>
    </row>
    <row r="7" spans="1:21" s="4" customFormat="1" x14ac:dyDescent="0.25">
      <c r="A7" s="124" t="s">
        <v>9</v>
      </c>
      <c r="B7" s="130" t="s">
        <v>8</v>
      </c>
      <c r="C7" s="128" t="s">
        <v>6</v>
      </c>
      <c r="D7" s="126" t="s">
        <v>7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Q7" s="124" t="s">
        <v>12</v>
      </c>
    </row>
    <row r="8" spans="1:21" s="6" customFormat="1" x14ac:dyDescent="0.25">
      <c r="A8" s="124"/>
      <c r="B8" s="130"/>
      <c r="C8" s="129"/>
      <c r="D8" s="108">
        <v>1</v>
      </c>
      <c r="E8" s="13">
        <f>D8+1</f>
        <v>2</v>
      </c>
      <c r="F8" s="13">
        <f t="shared" ref="F8:O8" si="13">E8+1</f>
        <v>3</v>
      </c>
      <c r="G8" s="13">
        <f t="shared" si="13"/>
        <v>4</v>
      </c>
      <c r="H8" s="13">
        <f t="shared" si="13"/>
        <v>5</v>
      </c>
      <c r="I8" s="13">
        <f t="shared" si="13"/>
        <v>6</v>
      </c>
      <c r="J8" s="13">
        <f t="shared" si="13"/>
        <v>7</v>
      </c>
      <c r="K8" s="13">
        <f t="shared" si="13"/>
        <v>8</v>
      </c>
      <c r="L8" s="13">
        <f t="shared" si="13"/>
        <v>9</v>
      </c>
      <c r="M8" s="13">
        <f t="shared" si="13"/>
        <v>10</v>
      </c>
      <c r="N8" s="13">
        <f>M8+1</f>
        <v>11</v>
      </c>
      <c r="O8" s="13">
        <f t="shared" si="13"/>
        <v>12</v>
      </c>
      <c r="Q8" s="124"/>
    </row>
    <row r="9" spans="1:21" s="20" customFormat="1" x14ac:dyDescent="0.25">
      <c r="A9" s="18"/>
      <c r="B9" s="112"/>
      <c r="C9" s="115" t="s">
        <v>4</v>
      </c>
      <c r="D9" s="109">
        <f t="shared" ref="D9:O9" si="14">SUM(D11:D41)</f>
        <v>11500</v>
      </c>
      <c r="E9" s="19">
        <f t="shared" si="14"/>
        <v>10500</v>
      </c>
      <c r="F9" s="19">
        <f t="shared" si="14"/>
        <v>10500</v>
      </c>
      <c r="G9" s="19">
        <f t="shared" si="14"/>
        <v>11000</v>
      </c>
      <c r="H9" s="19">
        <f t="shared" si="14"/>
        <v>11500</v>
      </c>
      <c r="I9" s="19">
        <f t="shared" si="14"/>
        <v>9500</v>
      </c>
      <c r="J9" s="19">
        <f t="shared" si="14"/>
        <v>11500</v>
      </c>
      <c r="K9" s="19">
        <f t="shared" si="14"/>
        <v>10500</v>
      </c>
      <c r="L9" s="19">
        <f t="shared" si="14"/>
        <v>10500</v>
      </c>
      <c r="M9" s="19">
        <f t="shared" si="14"/>
        <v>11500</v>
      </c>
      <c r="N9" s="19">
        <f t="shared" si="14"/>
        <v>9500</v>
      </c>
      <c r="O9" s="19">
        <f t="shared" si="14"/>
        <v>10000</v>
      </c>
      <c r="Q9" s="124"/>
    </row>
    <row r="10" spans="1:21" s="4" customFormat="1" x14ac:dyDescent="0.25">
      <c r="A10" s="16"/>
      <c r="B10" s="113"/>
      <c r="C10" s="116"/>
      <c r="D10" s="1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Q10" s="16"/>
    </row>
    <row r="11" spans="1:21" x14ac:dyDescent="0.25">
      <c r="A11" s="17">
        <f ca="1">DATEVALUE("1."&amp;$B$5&amp;"."&amp;YEAR(TODAY()))</f>
        <v>45809</v>
      </c>
      <c r="B11" s="114" t="str">
        <f ca="1">TEXT(A11,"ДДД")</f>
        <v>Вс</v>
      </c>
      <c r="C11" s="117">
        <v>1</v>
      </c>
      <c r="D11" s="111">
        <v>500</v>
      </c>
      <c r="E11" s="5">
        <v>500</v>
      </c>
      <c r="F11" s="5">
        <v>500</v>
      </c>
      <c r="G11" s="5">
        <v>500</v>
      </c>
      <c r="H11" s="5">
        <v>500</v>
      </c>
      <c r="I11" s="5">
        <v>0</v>
      </c>
      <c r="J11" s="5">
        <v>500</v>
      </c>
      <c r="K11" s="5">
        <v>500</v>
      </c>
      <c r="L11" s="5">
        <v>0</v>
      </c>
      <c r="M11" s="5">
        <v>500</v>
      </c>
      <c r="N11" s="5">
        <v>500</v>
      </c>
      <c r="O11" s="5">
        <v>0</v>
      </c>
      <c r="Q11" s="5">
        <f t="shared" ref="Q11:Q38" ca="1" si="15">IF(OR($B11="Сб",$B11="Вс",$B11=""),0,$Q$6)</f>
        <v>0</v>
      </c>
    </row>
    <row r="12" spans="1:21" x14ac:dyDescent="0.25">
      <c r="A12" s="17">
        <f ca="1">A11+1</f>
        <v>45810</v>
      </c>
      <c r="B12" s="114" t="str">
        <f t="shared" ref="B12:B41" ca="1" si="16">TEXT(A12,"ДДД")</f>
        <v>Пн</v>
      </c>
      <c r="C12" s="117">
        <f>C11+1</f>
        <v>2</v>
      </c>
      <c r="D12" s="111">
        <v>500</v>
      </c>
      <c r="E12" s="5">
        <v>500</v>
      </c>
      <c r="F12" s="5">
        <v>0</v>
      </c>
      <c r="G12" s="5">
        <v>500</v>
      </c>
      <c r="H12" s="5">
        <v>500</v>
      </c>
      <c r="I12" s="5">
        <v>0</v>
      </c>
      <c r="J12" s="5">
        <v>500</v>
      </c>
      <c r="K12" s="5">
        <v>500</v>
      </c>
      <c r="L12" s="5">
        <v>500</v>
      </c>
      <c r="M12" s="5">
        <v>500</v>
      </c>
      <c r="N12" s="5">
        <v>0</v>
      </c>
      <c r="O12" s="5">
        <v>500</v>
      </c>
      <c r="Q12" s="5">
        <f t="shared" ca="1" si="15"/>
        <v>500</v>
      </c>
    </row>
    <row r="13" spans="1:21" x14ac:dyDescent="0.25">
      <c r="A13" s="17">
        <f t="shared" ref="A13:A38" ca="1" si="17">A12+1</f>
        <v>45811</v>
      </c>
      <c r="B13" s="114" t="str">
        <f t="shared" ca="1" si="16"/>
        <v>Вт</v>
      </c>
      <c r="C13" s="117">
        <f t="shared" ref="C13:C41" si="18">C12+1</f>
        <v>3</v>
      </c>
      <c r="D13" s="111">
        <v>500</v>
      </c>
      <c r="E13" s="5">
        <v>0</v>
      </c>
      <c r="F13" s="5">
        <v>0</v>
      </c>
      <c r="G13" s="5">
        <v>500</v>
      </c>
      <c r="H13" s="5">
        <v>500</v>
      </c>
      <c r="I13" s="5">
        <v>500</v>
      </c>
      <c r="J13" s="5">
        <v>500</v>
      </c>
      <c r="K13" s="5">
        <v>0</v>
      </c>
      <c r="L13" s="5">
        <v>500</v>
      </c>
      <c r="M13" s="5">
        <v>500</v>
      </c>
      <c r="N13" s="5">
        <v>0</v>
      </c>
      <c r="O13" s="5">
        <v>500</v>
      </c>
      <c r="Q13" s="5">
        <f t="shared" ca="1" si="15"/>
        <v>500</v>
      </c>
    </row>
    <row r="14" spans="1:21" x14ac:dyDescent="0.25">
      <c r="A14" s="17">
        <f t="shared" ca="1" si="17"/>
        <v>45812</v>
      </c>
      <c r="B14" s="114" t="str">
        <f t="shared" ca="1" si="16"/>
        <v>Ср</v>
      </c>
      <c r="C14" s="117">
        <f t="shared" si="18"/>
        <v>4</v>
      </c>
      <c r="D14" s="111">
        <v>500</v>
      </c>
      <c r="E14" s="5">
        <v>0</v>
      </c>
      <c r="F14" s="5">
        <v>500</v>
      </c>
      <c r="G14" s="5">
        <v>500</v>
      </c>
      <c r="H14" s="5">
        <v>0</v>
      </c>
      <c r="I14" s="5">
        <v>500</v>
      </c>
      <c r="J14" s="5">
        <v>500</v>
      </c>
      <c r="K14" s="5">
        <v>0</v>
      </c>
      <c r="L14" s="5">
        <v>500</v>
      </c>
      <c r="M14" s="5">
        <v>500</v>
      </c>
      <c r="N14" s="5">
        <v>0</v>
      </c>
      <c r="O14" s="5">
        <v>500</v>
      </c>
      <c r="Q14" s="5">
        <f t="shared" ca="1" si="15"/>
        <v>500</v>
      </c>
    </row>
    <row r="15" spans="1:21" x14ac:dyDescent="0.25">
      <c r="A15" s="17">
        <f t="shared" ca="1" si="17"/>
        <v>45813</v>
      </c>
      <c r="B15" s="114" t="str">
        <f t="shared" ca="1" si="16"/>
        <v>Чт</v>
      </c>
      <c r="C15" s="117">
        <f t="shared" si="18"/>
        <v>5</v>
      </c>
      <c r="D15" s="111">
        <v>500</v>
      </c>
      <c r="E15" s="5">
        <v>500</v>
      </c>
      <c r="F15" s="5">
        <v>500</v>
      </c>
      <c r="G15" s="5">
        <v>500</v>
      </c>
      <c r="H15" s="5">
        <v>0</v>
      </c>
      <c r="I15" s="5">
        <v>500</v>
      </c>
      <c r="J15" s="5">
        <v>500</v>
      </c>
      <c r="K15" s="5">
        <v>500</v>
      </c>
      <c r="L15" s="5">
        <v>500</v>
      </c>
      <c r="M15" s="5">
        <v>0</v>
      </c>
      <c r="N15" s="5">
        <v>500</v>
      </c>
      <c r="O15" s="5">
        <v>500</v>
      </c>
      <c r="Q15" s="5">
        <f t="shared" ca="1" si="15"/>
        <v>500</v>
      </c>
    </row>
    <row r="16" spans="1:21" x14ac:dyDescent="0.25">
      <c r="A16" s="17">
        <f t="shared" ca="1" si="17"/>
        <v>45814</v>
      </c>
      <c r="B16" s="114" t="str">
        <f t="shared" ca="1" si="16"/>
        <v>Пт</v>
      </c>
      <c r="C16" s="117">
        <f t="shared" si="18"/>
        <v>6</v>
      </c>
      <c r="D16" s="111">
        <v>0</v>
      </c>
      <c r="E16" s="5">
        <v>500</v>
      </c>
      <c r="F16" s="5">
        <v>500</v>
      </c>
      <c r="G16" s="5">
        <v>0</v>
      </c>
      <c r="H16" s="5">
        <v>500</v>
      </c>
      <c r="I16" s="5">
        <v>500</v>
      </c>
      <c r="J16" s="5">
        <v>0</v>
      </c>
      <c r="K16" s="5">
        <v>500</v>
      </c>
      <c r="L16" s="5">
        <v>500</v>
      </c>
      <c r="M16" s="5">
        <v>0</v>
      </c>
      <c r="N16" s="5">
        <v>0</v>
      </c>
      <c r="O16" s="5">
        <v>500</v>
      </c>
      <c r="Q16" s="5">
        <f t="shared" ca="1" si="15"/>
        <v>500</v>
      </c>
    </row>
    <row r="17" spans="1:17" x14ac:dyDescent="0.25">
      <c r="A17" s="17">
        <f t="shared" ca="1" si="17"/>
        <v>45815</v>
      </c>
      <c r="B17" s="114" t="str">
        <f t="shared" ca="1" si="16"/>
        <v>Сб</v>
      </c>
      <c r="C17" s="117">
        <f t="shared" si="18"/>
        <v>7</v>
      </c>
      <c r="D17" s="111">
        <v>0</v>
      </c>
      <c r="E17" s="5">
        <v>500</v>
      </c>
      <c r="F17" s="5">
        <v>500</v>
      </c>
      <c r="G17" s="5">
        <v>0</v>
      </c>
      <c r="H17" s="5">
        <v>500</v>
      </c>
      <c r="I17" s="5">
        <v>500</v>
      </c>
      <c r="J17" s="5">
        <v>0</v>
      </c>
      <c r="K17" s="5">
        <v>500</v>
      </c>
      <c r="L17" s="5">
        <v>0</v>
      </c>
      <c r="M17" s="5">
        <v>500</v>
      </c>
      <c r="N17" s="5">
        <v>500</v>
      </c>
      <c r="O17" s="5">
        <v>0</v>
      </c>
      <c r="Q17" s="5">
        <f t="shared" ca="1" si="15"/>
        <v>0</v>
      </c>
    </row>
    <row r="18" spans="1:17" x14ac:dyDescent="0.25">
      <c r="A18" s="17">
        <f t="shared" ca="1" si="17"/>
        <v>45816</v>
      </c>
      <c r="B18" s="114" t="str">
        <f t="shared" ca="1" si="16"/>
        <v>Вс</v>
      </c>
      <c r="C18" s="117">
        <f t="shared" si="18"/>
        <v>8</v>
      </c>
      <c r="D18" s="111">
        <v>500</v>
      </c>
      <c r="E18" s="5">
        <v>500</v>
      </c>
      <c r="F18" s="5">
        <v>500</v>
      </c>
      <c r="G18" s="5">
        <v>500</v>
      </c>
      <c r="H18" s="5">
        <v>500</v>
      </c>
      <c r="I18" s="5">
        <v>0</v>
      </c>
      <c r="J18" s="5">
        <v>500</v>
      </c>
      <c r="K18" s="5">
        <v>500</v>
      </c>
      <c r="L18" s="5">
        <v>0</v>
      </c>
      <c r="M18" s="5">
        <v>500</v>
      </c>
      <c r="N18" s="5">
        <v>500</v>
      </c>
      <c r="O18" s="5">
        <v>0</v>
      </c>
      <c r="Q18" s="5">
        <f t="shared" ca="1" si="15"/>
        <v>0</v>
      </c>
    </row>
    <row r="19" spans="1:17" x14ac:dyDescent="0.25">
      <c r="A19" s="17">
        <f t="shared" ca="1" si="17"/>
        <v>45817</v>
      </c>
      <c r="B19" s="114" t="str">
        <f t="shared" ca="1" si="16"/>
        <v>Пн</v>
      </c>
      <c r="C19" s="117">
        <f t="shared" si="18"/>
        <v>9</v>
      </c>
      <c r="D19" s="111">
        <v>500</v>
      </c>
      <c r="E19" s="5">
        <v>500</v>
      </c>
      <c r="F19" s="5">
        <v>0</v>
      </c>
      <c r="G19" s="5">
        <v>500</v>
      </c>
      <c r="H19" s="5">
        <v>500</v>
      </c>
      <c r="I19" s="5">
        <v>0</v>
      </c>
      <c r="J19" s="5">
        <v>500</v>
      </c>
      <c r="K19" s="5">
        <v>500</v>
      </c>
      <c r="L19" s="5">
        <v>500</v>
      </c>
      <c r="M19" s="5">
        <v>500</v>
      </c>
      <c r="N19" s="5">
        <v>0</v>
      </c>
      <c r="O19" s="5">
        <v>500</v>
      </c>
      <c r="Q19" s="5">
        <f t="shared" ca="1" si="15"/>
        <v>500</v>
      </c>
    </row>
    <row r="20" spans="1:17" x14ac:dyDescent="0.25">
      <c r="A20" s="17">
        <f t="shared" ca="1" si="17"/>
        <v>45818</v>
      </c>
      <c r="B20" s="114" t="str">
        <f t="shared" ca="1" si="16"/>
        <v>Вт</v>
      </c>
      <c r="C20" s="117">
        <f t="shared" si="18"/>
        <v>10</v>
      </c>
      <c r="D20" s="111">
        <v>500</v>
      </c>
      <c r="E20" s="5">
        <v>0</v>
      </c>
      <c r="F20" s="5">
        <v>0</v>
      </c>
      <c r="G20" s="5">
        <v>500</v>
      </c>
      <c r="H20" s="5">
        <v>500</v>
      </c>
      <c r="I20" s="5">
        <v>500</v>
      </c>
      <c r="J20" s="5">
        <v>500</v>
      </c>
      <c r="K20" s="5">
        <v>0</v>
      </c>
      <c r="L20" s="5">
        <v>500</v>
      </c>
      <c r="M20" s="5">
        <v>500</v>
      </c>
      <c r="N20" s="5">
        <v>0</v>
      </c>
      <c r="O20" s="5">
        <v>500</v>
      </c>
      <c r="Q20" s="5">
        <f t="shared" ca="1" si="15"/>
        <v>500</v>
      </c>
    </row>
    <row r="21" spans="1:17" x14ac:dyDescent="0.25">
      <c r="A21" s="17">
        <f t="shared" ca="1" si="17"/>
        <v>45819</v>
      </c>
      <c r="B21" s="114" t="str">
        <f t="shared" ca="1" si="16"/>
        <v>Ср</v>
      </c>
      <c r="C21" s="117">
        <f t="shared" si="18"/>
        <v>11</v>
      </c>
      <c r="D21" s="111">
        <v>500</v>
      </c>
      <c r="E21" s="5">
        <v>0</v>
      </c>
      <c r="F21" s="5">
        <v>500</v>
      </c>
      <c r="G21" s="5">
        <v>500</v>
      </c>
      <c r="H21" s="5">
        <v>0</v>
      </c>
      <c r="I21" s="5">
        <v>500</v>
      </c>
      <c r="J21" s="5">
        <v>500</v>
      </c>
      <c r="K21" s="5">
        <v>0</v>
      </c>
      <c r="L21" s="5">
        <v>500</v>
      </c>
      <c r="M21" s="5">
        <v>500</v>
      </c>
      <c r="N21" s="5">
        <v>500</v>
      </c>
      <c r="O21" s="5">
        <v>500</v>
      </c>
      <c r="Q21" s="5">
        <f t="shared" ca="1" si="15"/>
        <v>500</v>
      </c>
    </row>
    <row r="22" spans="1:17" x14ac:dyDescent="0.25">
      <c r="A22" s="17">
        <f t="shared" ca="1" si="17"/>
        <v>45820</v>
      </c>
      <c r="B22" s="114" t="str">
        <f t="shared" ca="1" si="16"/>
        <v>Чт</v>
      </c>
      <c r="C22" s="117">
        <f t="shared" si="18"/>
        <v>12</v>
      </c>
      <c r="D22" s="111">
        <v>500</v>
      </c>
      <c r="E22" s="5">
        <v>500</v>
      </c>
      <c r="F22" s="5">
        <v>500</v>
      </c>
      <c r="G22" s="5">
        <v>500</v>
      </c>
      <c r="H22" s="5">
        <v>0</v>
      </c>
      <c r="I22" s="5">
        <v>0</v>
      </c>
      <c r="J22" s="5">
        <v>500</v>
      </c>
      <c r="K22" s="5">
        <v>500</v>
      </c>
      <c r="L22" s="5">
        <v>500</v>
      </c>
      <c r="M22" s="5">
        <v>0</v>
      </c>
      <c r="N22" s="5">
        <v>500</v>
      </c>
      <c r="O22" s="5">
        <v>500</v>
      </c>
      <c r="Q22" s="5">
        <f t="shared" ca="1" si="15"/>
        <v>500</v>
      </c>
    </row>
    <row r="23" spans="1:17" x14ac:dyDescent="0.25">
      <c r="A23" s="17">
        <f t="shared" ca="1" si="17"/>
        <v>45821</v>
      </c>
      <c r="B23" s="114" t="str">
        <f t="shared" ca="1" si="16"/>
        <v>Пт</v>
      </c>
      <c r="C23" s="117">
        <f t="shared" si="18"/>
        <v>13</v>
      </c>
      <c r="D23" s="111">
        <v>0</v>
      </c>
      <c r="E23" s="5">
        <v>500</v>
      </c>
      <c r="F23" s="5">
        <v>500</v>
      </c>
      <c r="G23" s="5">
        <v>0</v>
      </c>
      <c r="H23" s="5">
        <v>500</v>
      </c>
      <c r="I23" s="5">
        <v>500</v>
      </c>
      <c r="J23" s="5">
        <v>0</v>
      </c>
      <c r="K23" s="5">
        <v>500</v>
      </c>
      <c r="L23" s="5">
        <v>500</v>
      </c>
      <c r="M23" s="5">
        <v>0</v>
      </c>
      <c r="N23" s="5">
        <v>500</v>
      </c>
      <c r="O23" s="5">
        <v>500</v>
      </c>
      <c r="Q23" s="5">
        <f t="shared" ca="1" si="15"/>
        <v>500</v>
      </c>
    </row>
    <row r="24" spans="1:17" x14ac:dyDescent="0.25">
      <c r="A24" s="17">
        <f t="shared" ca="1" si="17"/>
        <v>45822</v>
      </c>
      <c r="B24" s="114" t="str">
        <f t="shared" ca="1" si="16"/>
        <v>Сб</v>
      </c>
      <c r="C24" s="117">
        <f t="shared" si="18"/>
        <v>14</v>
      </c>
      <c r="D24" s="111">
        <v>0</v>
      </c>
      <c r="E24" s="5">
        <v>500</v>
      </c>
      <c r="F24" s="5">
        <v>500</v>
      </c>
      <c r="G24" s="5">
        <v>0</v>
      </c>
      <c r="H24" s="5">
        <v>500</v>
      </c>
      <c r="I24" s="5">
        <v>500</v>
      </c>
      <c r="J24" s="5">
        <v>0</v>
      </c>
      <c r="K24" s="5">
        <v>500</v>
      </c>
      <c r="L24" s="5">
        <v>0</v>
      </c>
      <c r="M24" s="5">
        <v>500</v>
      </c>
      <c r="N24" s="5">
        <v>500</v>
      </c>
      <c r="O24" s="5">
        <v>0</v>
      </c>
      <c r="Q24" s="5">
        <f t="shared" ca="1" si="15"/>
        <v>0</v>
      </c>
    </row>
    <row r="25" spans="1:17" x14ac:dyDescent="0.25">
      <c r="A25" s="17">
        <f t="shared" ca="1" si="17"/>
        <v>45823</v>
      </c>
      <c r="B25" s="114" t="str">
        <f t="shared" ca="1" si="16"/>
        <v>Вс</v>
      </c>
      <c r="C25" s="117">
        <f t="shared" si="18"/>
        <v>15</v>
      </c>
      <c r="D25" s="111">
        <v>500</v>
      </c>
      <c r="E25" s="5">
        <v>500</v>
      </c>
      <c r="F25" s="5">
        <v>500</v>
      </c>
      <c r="G25" s="5">
        <v>500</v>
      </c>
      <c r="H25" s="5">
        <v>500</v>
      </c>
      <c r="I25" s="5">
        <v>0</v>
      </c>
      <c r="J25" s="5">
        <v>500</v>
      </c>
      <c r="K25" s="5">
        <v>500</v>
      </c>
      <c r="L25" s="5">
        <v>0</v>
      </c>
      <c r="M25" s="5">
        <v>500</v>
      </c>
      <c r="N25" s="5">
        <v>500</v>
      </c>
      <c r="O25" s="5">
        <v>0</v>
      </c>
      <c r="Q25" s="5">
        <f t="shared" ca="1" si="15"/>
        <v>0</v>
      </c>
    </row>
    <row r="26" spans="1:17" x14ac:dyDescent="0.25">
      <c r="A26" s="17">
        <f t="shared" ca="1" si="17"/>
        <v>45824</v>
      </c>
      <c r="B26" s="114" t="str">
        <f t="shared" ca="1" si="16"/>
        <v>Пн</v>
      </c>
      <c r="C26" s="117">
        <f t="shared" si="18"/>
        <v>16</v>
      </c>
      <c r="D26" s="111">
        <v>500</v>
      </c>
      <c r="E26" s="5">
        <v>500</v>
      </c>
      <c r="F26" s="5">
        <v>0</v>
      </c>
      <c r="G26" s="5">
        <v>500</v>
      </c>
      <c r="H26" s="5">
        <v>500</v>
      </c>
      <c r="I26" s="5">
        <v>0</v>
      </c>
      <c r="J26" s="5">
        <v>500</v>
      </c>
      <c r="K26" s="5">
        <v>500</v>
      </c>
      <c r="L26" s="5">
        <v>500</v>
      </c>
      <c r="M26" s="5">
        <v>500</v>
      </c>
      <c r="N26" s="5">
        <v>0</v>
      </c>
      <c r="O26" s="5">
        <v>500</v>
      </c>
      <c r="Q26" s="5">
        <f t="shared" ca="1" si="15"/>
        <v>500</v>
      </c>
    </row>
    <row r="27" spans="1:17" x14ac:dyDescent="0.25">
      <c r="A27" s="17">
        <f t="shared" ca="1" si="17"/>
        <v>45825</v>
      </c>
      <c r="B27" s="114" t="str">
        <f t="shared" ca="1" si="16"/>
        <v>Вт</v>
      </c>
      <c r="C27" s="117">
        <f t="shared" si="18"/>
        <v>17</v>
      </c>
      <c r="D27" s="111">
        <v>500</v>
      </c>
      <c r="E27" s="5">
        <v>0</v>
      </c>
      <c r="F27" s="5">
        <v>0</v>
      </c>
      <c r="G27" s="5">
        <v>500</v>
      </c>
      <c r="H27" s="5">
        <v>500</v>
      </c>
      <c r="I27" s="5">
        <v>500</v>
      </c>
      <c r="J27" s="5">
        <v>500</v>
      </c>
      <c r="K27" s="5">
        <v>0</v>
      </c>
      <c r="L27" s="5">
        <v>500</v>
      </c>
      <c r="M27" s="5">
        <v>500</v>
      </c>
      <c r="N27" s="5">
        <v>0</v>
      </c>
      <c r="O27" s="5">
        <v>500</v>
      </c>
      <c r="Q27" s="5">
        <f t="shared" ca="1" si="15"/>
        <v>500</v>
      </c>
    </row>
    <row r="28" spans="1:17" x14ac:dyDescent="0.25">
      <c r="A28" s="17">
        <f t="shared" ca="1" si="17"/>
        <v>45826</v>
      </c>
      <c r="B28" s="114" t="str">
        <f t="shared" ca="1" si="16"/>
        <v>Ср</v>
      </c>
      <c r="C28" s="117">
        <f t="shared" si="18"/>
        <v>18</v>
      </c>
      <c r="D28" s="111">
        <v>500</v>
      </c>
      <c r="E28" s="5">
        <v>0</v>
      </c>
      <c r="F28" s="5">
        <v>500</v>
      </c>
      <c r="G28" s="5">
        <v>500</v>
      </c>
      <c r="H28" s="5">
        <v>0</v>
      </c>
      <c r="I28" s="5">
        <v>500</v>
      </c>
      <c r="J28" s="5">
        <v>500</v>
      </c>
      <c r="K28" s="5">
        <v>0</v>
      </c>
      <c r="L28" s="5">
        <v>500</v>
      </c>
      <c r="M28" s="5">
        <v>500</v>
      </c>
      <c r="N28" s="5">
        <v>500</v>
      </c>
      <c r="O28" s="5">
        <v>500</v>
      </c>
      <c r="Q28" s="5">
        <f t="shared" ca="1" si="15"/>
        <v>500</v>
      </c>
    </row>
    <row r="29" spans="1:17" x14ac:dyDescent="0.25">
      <c r="A29" s="17">
        <f t="shared" ca="1" si="17"/>
        <v>45827</v>
      </c>
      <c r="B29" s="114" t="str">
        <f t="shared" ca="1" si="16"/>
        <v>Чт</v>
      </c>
      <c r="C29" s="117">
        <f t="shared" si="18"/>
        <v>19</v>
      </c>
      <c r="D29" s="111">
        <v>500</v>
      </c>
      <c r="E29" s="5">
        <v>500</v>
      </c>
      <c r="F29" s="5">
        <v>500</v>
      </c>
      <c r="G29" s="5">
        <v>500</v>
      </c>
      <c r="H29" s="5">
        <v>0</v>
      </c>
      <c r="I29" s="5">
        <v>500</v>
      </c>
      <c r="J29" s="5">
        <v>500</v>
      </c>
      <c r="K29" s="5">
        <v>500</v>
      </c>
      <c r="L29" s="5">
        <v>500</v>
      </c>
      <c r="M29" s="5">
        <v>0</v>
      </c>
      <c r="N29" s="5">
        <v>500</v>
      </c>
      <c r="O29" s="5">
        <v>500</v>
      </c>
      <c r="Q29" s="5">
        <f t="shared" ca="1" si="15"/>
        <v>500</v>
      </c>
    </row>
    <row r="30" spans="1:17" x14ac:dyDescent="0.25">
      <c r="A30" s="17">
        <f t="shared" ca="1" si="17"/>
        <v>45828</v>
      </c>
      <c r="B30" s="114" t="str">
        <f t="shared" ca="1" si="16"/>
        <v>Пт</v>
      </c>
      <c r="C30" s="117">
        <f t="shared" si="18"/>
        <v>20</v>
      </c>
      <c r="D30" s="111">
        <v>0</v>
      </c>
      <c r="E30" s="5">
        <v>500</v>
      </c>
      <c r="F30" s="5">
        <v>500</v>
      </c>
      <c r="G30" s="5">
        <v>0</v>
      </c>
      <c r="H30" s="5">
        <v>500</v>
      </c>
      <c r="I30" s="5">
        <v>500</v>
      </c>
      <c r="J30" s="5">
        <v>0</v>
      </c>
      <c r="K30" s="5">
        <v>500</v>
      </c>
      <c r="L30" s="5">
        <v>500</v>
      </c>
      <c r="M30" s="5">
        <v>0</v>
      </c>
      <c r="N30" s="5">
        <v>500</v>
      </c>
      <c r="O30" s="5">
        <v>500</v>
      </c>
      <c r="Q30" s="5">
        <f t="shared" ca="1" si="15"/>
        <v>500</v>
      </c>
    </row>
    <row r="31" spans="1:17" x14ac:dyDescent="0.25">
      <c r="A31" s="17">
        <f t="shared" ca="1" si="17"/>
        <v>45829</v>
      </c>
      <c r="B31" s="114" t="str">
        <f t="shared" ca="1" si="16"/>
        <v>Сб</v>
      </c>
      <c r="C31" s="117">
        <f t="shared" si="18"/>
        <v>21</v>
      </c>
      <c r="D31" s="111">
        <v>0</v>
      </c>
      <c r="E31" s="5">
        <v>500</v>
      </c>
      <c r="F31" s="5">
        <v>500</v>
      </c>
      <c r="G31" s="5">
        <v>0</v>
      </c>
      <c r="H31" s="5">
        <v>500</v>
      </c>
      <c r="I31" s="5">
        <v>500</v>
      </c>
      <c r="J31" s="5">
        <v>0</v>
      </c>
      <c r="K31" s="5">
        <v>500</v>
      </c>
      <c r="L31" s="5">
        <v>0</v>
      </c>
      <c r="M31" s="5">
        <v>500</v>
      </c>
      <c r="N31" s="5">
        <v>500</v>
      </c>
      <c r="O31" s="5">
        <v>0</v>
      </c>
      <c r="Q31" s="5">
        <f t="shared" ca="1" si="15"/>
        <v>0</v>
      </c>
    </row>
    <row r="32" spans="1:17" x14ac:dyDescent="0.25">
      <c r="A32" s="17">
        <f t="shared" ca="1" si="17"/>
        <v>45830</v>
      </c>
      <c r="B32" s="114" t="str">
        <f t="shared" ca="1" si="16"/>
        <v>Вс</v>
      </c>
      <c r="C32" s="117">
        <f t="shared" si="18"/>
        <v>22</v>
      </c>
      <c r="D32" s="111">
        <v>500</v>
      </c>
      <c r="E32" s="5">
        <v>500</v>
      </c>
      <c r="F32" s="5">
        <v>500</v>
      </c>
      <c r="G32" s="5">
        <v>500</v>
      </c>
      <c r="H32" s="5">
        <v>500</v>
      </c>
      <c r="I32" s="5">
        <v>0</v>
      </c>
      <c r="J32" s="5">
        <v>500</v>
      </c>
      <c r="K32" s="5">
        <v>500</v>
      </c>
      <c r="L32" s="5">
        <v>0</v>
      </c>
      <c r="M32" s="5">
        <v>500</v>
      </c>
      <c r="N32" s="5">
        <v>500</v>
      </c>
      <c r="O32" s="5">
        <v>0</v>
      </c>
      <c r="Q32" s="5">
        <f t="shared" ca="1" si="15"/>
        <v>0</v>
      </c>
    </row>
    <row r="33" spans="1:17" x14ac:dyDescent="0.25">
      <c r="A33" s="17">
        <f t="shared" ca="1" si="17"/>
        <v>45831</v>
      </c>
      <c r="B33" s="114" t="str">
        <f t="shared" ca="1" si="16"/>
        <v>Пн</v>
      </c>
      <c r="C33" s="117">
        <f t="shared" si="18"/>
        <v>23</v>
      </c>
      <c r="D33" s="111">
        <v>500</v>
      </c>
      <c r="E33" s="5">
        <v>500</v>
      </c>
      <c r="F33" s="5">
        <v>0</v>
      </c>
      <c r="G33" s="5">
        <v>500</v>
      </c>
      <c r="H33" s="5">
        <v>500</v>
      </c>
      <c r="I33" s="5">
        <v>0</v>
      </c>
      <c r="J33" s="5">
        <v>500</v>
      </c>
      <c r="K33" s="5">
        <v>500</v>
      </c>
      <c r="L33" s="5">
        <v>500</v>
      </c>
      <c r="M33" s="5">
        <v>500</v>
      </c>
      <c r="N33" s="5">
        <v>0</v>
      </c>
      <c r="O33" s="5">
        <v>500</v>
      </c>
      <c r="Q33" s="5">
        <f t="shared" ca="1" si="15"/>
        <v>500</v>
      </c>
    </row>
    <row r="34" spans="1:17" x14ac:dyDescent="0.25">
      <c r="A34" s="17">
        <f t="shared" ca="1" si="17"/>
        <v>45832</v>
      </c>
      <c r="B34" s="114" t="str">
        <f t="shared" ca="1" si="16"/>
        <v>Вт</v>
      </c>
      <c r="C34" s="117">
        <f t="shared" si="18"/>
        <v>24</v>
      </c>
      <c r="D34" s="111">
        <v>500</v>
      </c>
      <c r="E34" s="5">
        <v>0</v>
      </c>
      <c r="F34" s="5">
        <v>0</v>
      </c>
      <c r="G34" s="5">
        <v>500</v>
      </c>
      <c r="H34" s="5">
        <v>500</v>
      </c>
      <c r="I34" s="5">
        <v>500</v>
      </c>
      <c r="J34" s="5">
        <v>500</v>
      </c>
      <c r="K34" s="5">
        <v>0</v>
      </c>
      <c r="L34" s="5">
        <v>500</v>
      </c>
      <c r="M34" s="5">
        <v>500</v>
      </c>
      <c r="N34" s="5">
        <v>0</v>
      </c>
      <c r="O34" s="5">
        <v>500</v>
      </c>
      <c r="Q34" s="5">
        <f t="shared" ca="1" si="15"/>
        <v>500</v>
      </c>
    </row>
    <row r="35" spans="1:17" x14ac:dyDescent="0.25">
      <c r="A35" s="17">
        <f t="shared" ca="1" si="17"/>
        <v>45833</v>
      </c>
      <c r="B35" s="114" t="str">
        <f t="shared" ca="1" si="16"/>
        <v>Ср</v>
      </c>
      <c r="C35" s="117">
        <f>C34+1</f>
        <v>25</v>
      </c>
      <c r="D35" s="111">
        <v>500</v>
      </c>
      <c r="E35" s="5">
        <v>0</v>
      </c>
      <c r="F35" s="5">
        <v>500</v>
      </c>
      <c r="G35" s="5">
        <v>500</v>
      </c>
      <c r="H35" s="5">
        <v>0</v>
      </c>
      <c r="I35" s="5">
        <v>500</v>
      </c>
      <c r="J35" s="5">
        <v>500</v>
      </c>
      <c r="K35" s="5">
        <v>0</v>
      </c>
      <c r="L35" s="5">
        <v>500</v>
      </c>
      <c r="M35" s="5">
        <v>500</v>
      </c>
      <c r="N35" s="5">
        <v>500</v>
      </c>
      <c r="O35" s="5">
        <v>500</v>
      </c>
      <c r="Q35" s="5">
        <f t="shared" ca="1" si="15"/>
        <v>500</v>
      </c>
    </row>
    <row r="36" spans="1:17" x14ac:dyDescent="0.25">
      <c r="A36" s="17">
        <f t="shared" ca="1" si="17"/>
        <v>45834</v>
      </c>
      <c r="B36" s="114" t="str">
        <f t="shared" ca="1" si="16"/>
        <v>Чт</v>
      </c>
      <c r="C36" s="117">
        <f t="shared" si="18"/>
        <v>26</v>
      </c>
      <c r="D36" s="111">
        <v>500</v>
      </c>
      <c r="E36" s="5">
        <v>500</v>
      </c>
      <c r="F36" s="5">
        <v>500</v>
      </c>
      <c r="G36" s="5">
        <v>500</v>
      </c>
      <c r="H36" s="5">
        <v>0</v>
      </c>
      <c r="I36" s="5">
        <v>500</v>
      </c>
      <c r="J36" s="5">
        <v>500</v>
      </c>
      <c r="K36" s="5">
        <v>500</v>
      </c>
      <c r="L36" s="5">
        <v>500</v>
      </c>
      <c r="M36" s="5">
        <v>0</v>
      </c>
      <c r="N36" s="5">
        <v>500</v>
      </c>
      <c r="O36" s="5">
        <v>500</v>
      </c>
      <c r="Q36" s="5">
        <f t="shared" ca="1" si="15"/>
        <v>500</v>
      </c>
    </row>
    <row r="37" spans="1:17" x14ac:dyDescent="0.25">
      <c r="A37" s="17">
        <f t="shared" ca="1" si="17"/>
        <v>45835</v>
      </c>
      <c r="B37" s="114" t="str">
        <f t="shared" ca="1" si="16"/>
        <v>Пт</v>
      </c>
      <c r="C37" s="117">
        <f t="shared" si="18"/>
        <v>27</v>
      </c>
      <c r="D37" s="111">
        <v>0</v>
      </c>
      <c r="E37" s="5">
        <v>500</v>
      </c>
      <c r="F37" s="5">
        <v>500</v>
      </c>
      <c r="G37" s="5">
        <v>0</v>
      </c>
      <c r="H37" s="5">
        <v>500</v>
      </c>
      <c r="I37" s="5">
        <v>500</v>
      </c>
      <c r="J37" s="5">
        <v>0</v>
      </c>
      <c r="K37" s="5">
        <v>500</v>
      </c>
      <c r="L37" s="5">
        <v>500</v>
      </c>
      <c r="M37" s="5">
        <v>0</v>
      </c>
      <c r="N37" s="5">
        <v>500</v>
      </c>
      <c r="O37" s="5">
        <v>500</v>
      </c>
      <c r="Q37" s="5">
        <f t="shared" ca="1" si="15"/>
        <v>500</v>
      </c>
    </row>
    <row r="38" spans="1:17" x14ac:dyDescent="0.25">
      <c r="A38" s="17">
        <f t="shared" ca="1" si="17"/>
        <v>45836</v>
      </c>
      <c r="B38" s="114" t="str">
        <f t="shared" ca="1" si="16"/>
        <v>Сб</v>
      </c>
      <c r="C38" s="117">
        <f t="shared" si="18"/>
        <v>28</v>
      </c>
      <c r="D38" s="111">
        <v>0</v>
      </c>
      <c r="E38" s="5">
        <v>500</v>
      </c>
      <c r="F38" s="5">
        <v>500</v>
      </c>
      <c r="G38" s="5">
        <v>0</v>
      </c>
      <c r="H38" s="5">
        <v>500</v>
      </c>
      <c r="I38" s="5">
        <v>500</v>
      </c>
      <c r="J38" s="5">
        <v>0</v>
      </c>
      <c r="K38" s="5">
        <v>500</v>
      </c>
      <c r="L38" s="5">
        <v>0</v>
      </c>
      <c r="M38" s="5">
        <v>500</v>
      </c>
      <c r="N38" s="5">
        <v>500</v>
      </c>
      <c r="O38" s="5">
        <v>0</v>
      </c>
      <c r="Q38" s="5">
        <f t="shared" ca="1" si="15"/>
        <v>0</v>
      </c>
    </row>
    <row r="39" spans="1:17" x14ac:dyDescent="0.25">
      <c r="A39" s="17">
        <f t="shared" ref="A39:A40" ca="1" si="19">IF(A38="","",IF(MONTH(A38+1)=MONTH(A38),A38+1,""))</f>
        <v>45837</v>
      </c>
      <c r="B39" s="114" t="str">
        <f t="shared" ca="1" si="16"/>
        <v>Вс</v>
      </c>
      <c r="C39" s="117">
        <f>C38+1</f>
        <v>29</v>
      </c>
      <c r="D39" s="111">
        <v>500</v>
      </c>
      <c r="E39" s="5">
        <v>500</v>
      </c>
      <c r="F39" s="5">
        <v>500</v>
      </c>
      <c r="G39" s="5">
        <v>500</v>
      </c>
      <c r="H39" s="5">
        <v>500</v>
      </c>
      <c r="I39" s="5">
        <v>0</v>
      </c>
      <c r="J39" s="5">
        <v>500</v>
      </c>
      <c r="K39" s="5">
        <v>500</v>
      </c>
      <c r="L39" s="5">
        <v>0</v>
      </c>
      <c r="M39" s="5">
        <v>500</v>
      </c>
      <c r="N39" s="5">
        <v>500</v>
      </c>
      <c r="O39" s="5">
        <v>0</v>
      </c>
      <c r="Q39" s="5">
        <f ca="1">IF(OR($B39="Сб",$B39="Вс",$B39=""),0,$Q$6)</f>
        <v>0</v>
      </c>
    </row>
    <row r="40" spans="1:17" x14ac:dyDescent="0.25">
      <c r="A40" s="17">
        <f t="shared" ca="1" si="19"/>
        <v>45838</v>
      </c>
      <c r="B40" s="114" t="str">
        <f t="shared" ca="1" si="16"/>
        <v>Пн</v>
      </c>
      <c r="C40" s="117">
        <f t="shared" si="18"/>
        <v>30</v>
      </c>
      <c r="D40" s="111">
        <v>500</v>
      </c>
      <c r="E40" s="5">
        <v>0</v>
      </c>
      <c r="F40" s="5">
        <v>0</v>
      </c>
      <c r="G40" s="5">
        <v>500</v>
      </c>
      <c r="H40" s="5">
        <v>500</v>
      </c>
      <c r="I40" s="5">
        <v>0</v>
      </c>
      <c r="J40" s="5">
        <v>500</v>
      </c>
      <c r="K40" s="5">
        <v>0</v>
      </c>
      <c r="L40" s="5">
        <v>500</v>
      </c>
      <c r="M40" s="5">
        <v>500</v>
      </c>
      <c r="N40" s="5">
        <v>0</v>
      </c>
      <c r="O40" s="5">
        <v>0</v>
      </c>
      <c r="Q40" s="5">
        <f t="shared" ref="Q40:Q41" ca="1" si="20">IF(OR($B40="Сб",$B40="Вс",$B40=""),0,$Q$6)</f>
        <v>500</v>
      </c>
    </row>
    <row r="41" spans="1:17" ht="15.75" thickBot="1" x14ac:dyDescent="0.3">
      <c r="A41" s="17" t="str">
        <f ca="1">IF(A40="","",IF(MONTH(A40+1)=MONTH(A40),A40+1,""))</f>
        <v/>
      </c>
      <c r="B41" s="114" t="str">
        <f t="shared" ca="1" si="16"/>
        <v/>
      </c>
      <c r="C41" s="118">
        <f t="shared" si="18"/>
        <v>31</v>
      </c>
      <c r="D41" s="111">
        <v>500</v>
      </c>
      <c r="E41" s="5">
        <v>0</v>
      </c>
      <c r="F41" s="5">
        <v>0</v>
      </c>
      <c r="G41" s="5">
        <v>0</v>
      </c>
      <c r="H41" s="5">
        <v>500</v>
      </c>
      <c r="I41" s="5">
        <v>0</v>
      </c>
      <c r="J41" s="5">
        <v>500</v>
      </c>
      <c r="K41" s="5">
        <v>0</v>
      </c>
      <c r="L41" s="5">
        <v>0</v>
      </c>
      <c r="M41" s="5">
        <v>500</v>
      </c>
      <c r="N41" s="5">
        <v>0</v>
      </c>
      <c r="O41" s="5">
        <v>0</v>
      </c>
      <c r="Q41" s="5">
        <f t="shared" ca="1" si="20"/>
        <v>0</v>
      </c>
    </row>
  </sheetData>
  <autoFilter ref="A10:O10" xr:uid="{00000000-0009-0000-0000-000000000000}"/>
  <mergeCells count="6">
    <mergeCell ref="Q7:Q9"/>
    <mergeCell ref="A2:O2"/>
    <mergeCell ref="D7:O7"/>
    <mergeCell ref="C7:C8"/>
    <mergeCell ref="A7:A8"/>
    <mergeCell ref="B7:B8"/>
  </mergeCells>
  <conditionalFormatting sqref="B11:B41">
    <cfRule type="containsText" dxfId="5" priority="1" operator="containsText" text="Вс">
      <formula>NOT(ISERROR(SEARCH("Вс",B11)))</formula>
    </cfRule>
    <cfRule type="containsText" dxfId="4" priority="2" operator="containsText" text="Сб">
      <formula>NOT(ISERROR(SEARCH("Сб",B11)))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zoomScale="91" zoomScaleNormal="91" workbookViewId="0">
      <pane xSplit="3" ySplit="10" topLeftCell="D11" activePane="bottomRight" state="frozen"/>
      <selection pane="topRight" activeCell="D1" sqref="D1"/>
      <selection pane="bottomLeft" activeCell="A9" sqref="A9"/>
      <selection pane="bottomRight" activeCell="I35" sqref="I35"/>
    </sheetView>
  </sheetViews>
  <sheetFormatPr defaultRowHeight="15" x14ac:dyDescent="0.25"/>
  <cols>
    <col min="1" max="1" width="10.5703125" style="14" bestFit="1" customWidth="1"/>
    <col min="2" max="2" width="9.140625" style="15"/>
    <col min="3" max="3" width="6.85546875" style="3" bestFit="1" customWidth="1"/>
    <col min="4" max="4" width="9.85546875" style="2" customWidth="1"/>
    <col min="5" max="5" width="8.140625" style="2" customWidth="1"/>
    <col min="6" max="6" width="7.85546875" style="7" customWidth="1"/>
    <col min="7" max="7" width="7.5703125" style="7" customWidth="1"/>
    <col min="8" max="8" width="7.7109375" style="7" customWidth="1"/>
    <col min="9" max="9" width="8" style="7" customWidth="1"/>
    <col min="10" max="10" width="8.5703125" style="7" customWidth="1"/>
    <col min="11" max="11" width="8.85546875" style="7" customWidth="1"/>
    <col min="12" max="12" width="8.42578125" style="7" customWidth="1"/>
    <col min="13" max="13" width="10.28515625" style="7" customWidth="1"/>
    <col min="14" max="14" width="8.85546875" style="7" customWidth="1"/>
    <col min="15" max="15" width="13" style="7" customWidth="1"/>
    <col min="16" max="16" width="9.140625" style="1"/>
    <col min="17" max="17" width="10.5703125" style="1" customWidth="1"/>
    <col min="18" max="19" width="9.140625" style="1"/>
    <col min="20" max="20" width="11.85546875" style="1" bestFit="1" customWidth="1"/>
    <col min="21" max="21" width="10.140625" style="1" bestFit="1" customWidth="1"/>
    <col min="22" max="16384" width="9.140625" style="1"/>
  </cols>
  <sheetData>
    <row r="1" spans="1:21" s="3" customFormat="1" x14ac:dyDescent="0.25">
      <c r="A1" s="3">
        <v>1</v>
      </c>
      <c r="B1" s="3">
        <f>A1+1</f>
        <v>2</v>
      </c>
      <c r="C1" s="3">
        <f t="shared" ref="C1:O1" si="0">B1+1</f>
        <v>3</v>
      </c>
      <c r="D1" s="3">
        <f t="shared" si="0"/>
        <v>4</v>
      </c>
      <c r="E1" s="3">
        <f t="shared" si="0"/>
        <v>5</v>
      </c>
      <c r="F1" s="3">
        <f t="shared" si="0"/>
        <v>6</v>
      </c>
      <c r="G1" s="3">
        <f t="shared" si="0"/>
        <v>7</v>
      </c>
      <c r="H1" s="3">
        <f t="shared" si="0"/>
        <v>8</v>
      </c>
      <c r="I1" s="3">
        <f t="shared" si="0"/>
        <v>9</v>
      </c>
      <c r="J1" s="3">
        <f t="shared" si="0"/>
        <v>10</v>
      </c>
      <c r="K1" s="3">
        <f t="shared" si="0"/>
        <v>11</v>
      </c>
      <c r="L1" s="3">
        <f t="shared" si="0"/>
        <v>12</v>
      </c>
      <c r="M1" s="3">
        <f t="shared" si="0"/>
        <v>13</v>
      </c>
      <c r="N1" s="3">
        <f t="shared" si="0"/>
        <v>14</v>
      </c>
      <c r="O1" s="3">
        <f t="shared" si="0"/>
        <v>15</v>
      </c>
    </row>
    <row r="2" spans="1:21" s="3" customFormat="1" x14ac:dyDescent="0.25">
      <c r="A2" s="125" t="s">
        <v>84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21" s="3" customFormat="1" x14ac:dyDescent="0.25">
      <c r="A3" s="10">
        <v>11</v>
      </c>
      <c r="B3" s="8" t="s">
        <v>5</v>
      </c>
      <c r="E3" s="9"/>
      <c r="F3" s="9"/>
      <c r="G3" s="9"/>
      <c r="H3" s="9"/>
      <c r="I3" s="9"/>
      <c r="J3" s="9"/>
      <c r="K3" s="9"/>
      <c r="M3" s="9"/>
      <c r="N3" s="9"/>
      <c r="O3" s="9"/>
      <c r="U3" s="22"/>
    </row>
    <row r="4" spans="1:21" s="3" customFormat="1" x14ac:dyDescent="0.25">
      <c r="A4" s="10">
        <v>4</v>
      </c>
      <c r="B4" s="8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</row>
    <row r="5" spans="1:21" s="3" customFormat="1" x14ac:dyDescent="0.25">
      <c r="A5" s="21" t="s">
        <v>83</v>
      </c>
      <c r="B5" s="23" t="s">
        <v>19</v>
      </c>
      <c r="C5" s="107"/>
      <c r="E5" s="24"/>
      <c r="G5" s="9"/>
      <c r="J5" s="9"/>
      <c r="K5" s="9"/>
      <c r="L5" s="9"/>
      <c r="M5" s="9"/>
      <c r="N5" s="9"/>
      <c r="O5" s="9"/>
    </row>
    <row r="6" spans="1:21" s="3" customFormat="1" ht="15.75" thickBot="1" x14ac:dyDescent="0.3">
      <c r="B6" s="8"/>
      <c r="F6" s="6"/>
      <c r="G6" s="6"/>
      <c r="H6" s="6"/>
      <c r="I6" s="6"/>
      <c r="J6" s="6"/>
      <c r="K6" s="6"/>
      <c r="L6" s="6"/>
      <c r="M6" s="6"/>
      <c r="N6" s="6"/>
      <c r="O6" s="6"/>
      <c r="Q6" s="12">
        <v>500</v>
      </c>
    </row>
    <row r="7" spans="1:21" s="4" customFormat="1" x14ac:dyDescent="0.25">
      <c r="A7" s="124" t="s">
        <v>9</v>
      </c>
      <c r="B7" s="130" t="s">
        <v>8</v>
      </c>
      <c r="C7" s="128" t="s">
        <v>6</v>
      </c>
      <c r="D7" s="126" t="s">
        <v>7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Q7" s="124" t="s">
        <v>12</v>
      </c>
    </row>
    <row r="8" spans="1:21" s="6" customFormat="1" x14ac:dyDescent="0.25">
      <c r="A8" s="124"/>
      <c r="B8" s="130"/>
      <c r="C8" s="129"/>
      <c r="D8" s="108">
        <v>1</v>
      </c>
      <c r="E8" s="13">
        <f>D8+1</f>
        <v>2</v>
      </c>
      <c r="F8" s="13">
        <f t="shared" ref="F8:O8" si="1">E8+1</f>
        <v>3</v>
      </c>
      <c r="G8" s="13">
        <f t="shared" si="1"/>
        <v>4</v>
      </c>
      <c r="H8" s="13">
        <f t="shared" si="1"/>
        <v>5</v>
      </c>
      <c r="I8" s="13">
        <f t="shared" si="1"/>
        <v>6</v>
      </c>
      <c r="J8" s="13">
        <f t="shared" si="1"/>
        <v>7</v>
      </c>
      <c r="K8" s="13">
        <f t="shared" si="1"/>
        <v>8</v>
      </c>
      <c r="L8" s="13">
        <f t="shared" si="1"/>
        <v>9</v>
      </c>
      <c r="M8" s="13">
        <f t="shared" si="1"/>
        <v>10</v>
      </c>
      <c r="N8" s="13">
        <f>M8+1</f>
        <v>11</v>
      </c>
      <c r="O8" s="13">
        <f t="shared" si="1"/>
        <v>12</v>
      </c>
      <c r="Q8" s="124"/>
    </row>
    <row r="9" spans="1:21" s="20" customFormat="1" x14ac:dyDescent="0.25">
      <c r="A9" s="18"/>
      <c r="B9" s="112"/>
      <c r="C9" s="115" t="s">
        <v>4</v>
      </c>
      <c r="D9" s="109">
        <f t="shared" ref="D9:O9" si="2">SUM(D11:D41)</f>
        <v>9200</v>
      </c>
      <c r="E9" s="19">
        <f t="shared" si="2"/>
        <v>8400</v>
      </c>
      <c r="F9" s="19">
        <f t="shared" si="2"/>
        <v>8400</v>
      </c>
      <c r="G9" s="19">
        <f t="shared" si="2"/>
        <v>8800</v>
      </c>
      <c r="H9" s="19">
        <f t="shared" si="2"/>
        <v>9200</v>
      </c>
      <c r="I9" s="19">
        <f t="shared" si="2"/>
        <v>7600</v>
      </c>
      <c r="J9" s="19">
        <f t="shared" si="2"/>
        <v>9200</v>
      </c>
      <c r="K9" s="19">
        <f t="shared" si="2"/>
        <v>8400</v>
      </c>
      <c r="L9" s="19">
        <f t="shared" si="2"/>
        <v>8400</v>
      </c>
      <c r="M9" s="19">
        <f t="shared" si="2"/>
        <v>9200</v>
      </c>
      <c r="N9" s="19">
        <f t="shared" si="2"/>
        <v>7600</v>
      </c>
      <c r="O9" s="19">
        <f t="shared" si="2"/>
        <v>8000</v>
      </c>
      <c r="Q9" s="124"/>
    </row>
    <row r="10" spans="1:21" s="4" customFormat="1" x14ac:dyDescent="0.25">
      <c r="A10" s="16"/>
      <c r="B10" s="113"/>
      <c r="C10" s="116"/>
      <c r="D10" s="1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Q10" s="16"/>
    </row>
    <row r="11" spans="1:21" x14ac:dyDescent="0.25">
      <c r="A11" s="17">
        <f ca="1">DATEVALUE("1."&amp;$B$5&amp;"."&amp;YEAR(TODAY()))</f>
        <v>45809</v>
      </c>
      <c r="B11" s="114" t="str">
        <f ca="1">TEXT(A11,"ДДД")</f>
        <v>Вс</v>
      </c>
      <c r="C11" s="117">
        <v>1</v>
      </c>
      <c r="D11" s="111">
        <v>400</v>
      </c>
      <c r="E11" s="5">
        <v>400</v>
      </c>
      <c r="F11" s="5">
        <v>400</v>
      </c>
      <c r="G11" s="5">
        <v>400</v>
      </c>
      <c r="H11" s="5">
        <v>400</v>
      </c>
      <c r="I11" s="5">
        <v>0</v>
      </c>
      <c r="J11" s="5">
        <v>400</v>
      </c>
      <c r="K11" s="5">
        <v>400</v>
      </c>
      <c r="L11" s="5">
        <v>0</v>
      </c>
      <c r="M11" s="5">
        <v>400</v>
      </c>
      <c r="N11" s="5">
        <v>400</v>
      </c>
      <c r="O11" s="5">
        <v>0</v>
      </c>
      <c r="Q11" s="5">
        <f t="shared" ref="Q11:Q38" ca="1" si="3">IF(OR($B11="Сб",$B11="Вс",$B11=""),0,$Q$6)</f>
        <v>0</v>
      </c>
    </row>
    <row r="12" spans="1:21" x14ac:dyDescent="0.25">
      <c r="A12" s="17">
        <f ca="1">A11+1</f>
        <v>45810</v>
      </c>
      <c r="B12" s="114" t="str">
        <f t="shared" ref="B12:B41" ca="1" si="4">TEXT(A12,"ДДД")</f>
        <v>Пн</v>
      </c>
      <c r="C12" s="117">
        <f>C11+1</f>
        <v>2</v>
      </c>
      <c r="D12" s="111">
        <v>400</v>
      </c>
      <c r="E12" s="5">
        <v>400</v>
      </c>
      <c r="F12" s="5">
        <v>0</v>
      </c>
      <c r="G12" s="5">
        <v>400</v>
      </c>
      <c r="H12" s="5">
        <v>400</v>
      </c>
      <c r="I12" s="5">
        <v>0</v>
      </c>
      <c r="J12" s="5">
        <v>400</v>
      </c>
      <c r="K12" s="5">
        <v>400</v>
      </c>
      <c r="L12" s="5">
        <v>400</v>
      </c>
      <c r="M12" s="5">
        <v>400</v>
      </c>
      <c r="N12" s="5">
        <v>0</v>
      </c>
      <c r="O12" s="5">
        <v>400</v>
      </c>
      <c r="Q12" s="5">
        <f t="shared" ca="1" si="3"/>
        <v>500</v>
      </c>
    </row>
    <row r="13" spans="1:21" x14ac:dyDescent="0.25">
      <c r="A13" s="17">
        <f t="shared" ref="A13:A38" ca="1" si="5">A12+1</f>
        <v>45811</v>
      </c>
      <c r="B13" s="114" t="str">
        <f t="shared" ca="1" si="4"/>
        <v>Вт</v>
      </c>
      <c r="C13" s="117">
        <f t="shared" ref="C13:C41" si="6">C12+1</f>
        <v>3</v>
      </c>
      <c r="D13" s="111">
        <v>400</v>
      </c>
      <c r="E13" s="5">
        <v>0</v>
      </c>
      <c r="F13" s="5">
        <v>0</v>
      </c>
      <c r="G13" s="5">
        <v>400</v>
      </c>
      <c r="H13" s="5">
        <v>400</v>
      </c>
      <c r="I13" s="5">
        <v>400</v>
      </c>
      <c r="J13" s="5">
        <v>400</v>
      </c>
      <c r="K13" s="5">
        <v>0</v>
      </c>
      <c r="L13" s="5">
        <v>400</v>
      </c>
      <c r="M13" s="5">
        <v>400</v>
      </c>
      <c r="N13" s="5">
        <v>0</v>
      </c>
      <c r="O13" s="5">
        <v>400</v>
      </c>
      <c r="Q13" s="5">
        <f t="shared" ca="1" si="3"/>
        <v>500</v>
      </c>
    </row>
    <row r="14" spans="1:21" x14ac:dyDescent="0.25">
      <c r="A14" s="17">
        <f t="shared" ca="1" si="5"/>
        <v>45812</v>
      </c>
      <c r="B14" s="114" t="str">
        <f t="shared" ca="1" si="4"/>
        <v>Ср</v>
      </c>
      <c r="C14" s="117">
        <f t="shared" si="6"/>
        <v>4</v>
      </c>
      <c r="D14" s="111">
        <v>400</v>
      </c>
      <c r="E14" s="5">
        <v>0</v>
      </c>
      <c r="F14" s="5">
        <v>400</v>
      </c>
      <c r="G14" s="5">
        <v>400</v>
      </c>
      <c r="H14" s="5">
        <v>0</v>
      </c>
      <c r="I14" s="5">
        <v>400</v>
      </c>
      <c r="J14" s="5">
        <v>400</v>
      </c>
      <c r="K14" s="5">
        <v>0</v>
      </c>
      <c r="L14" s="5">
        <v>400</v>
      </c>
      <c r="M14" s="5">
        <v>400</v>
      </c>
      <c r="N14" s="5">
        <v>0</v>
      </c>
      <c r="O14" s="5">
        <v>400</v>
      </c>
      <c r="Q14" s="5">
        <f t="shared" ca="1" si="3"/>
        <v>500</v>
      </c>
    </row>
    <row r="15" spans="1:21" x14ac:dyDescent="0.25">
      <c r="A15" s="17">
        <f t="shared" ca="1" si="5"/>
        <v>45813</v>
      </c>
      <c r="B15" s="114" t="str">
        <f t="shared" ca="1" si="4"/>
        <v>Чт</v>
      </c>
      <c r="C15" s="117">
        <f t="shared" si="6"/>
        <v>5</v>
      </c>
      <c r="D15" s="111">
        <v>400</v>
      </c>
      <c r="E15" s="5">
        <v>400</v>
      </c>
      <c r="F15" s="5">
        <v>400</v>
      </c>
      <c r="G15" s="5">
        <v>400</v>
      </c>
      <c r="H15" s="5">
        <v>0</v>
      </c>
      <c r="I15" s="5">
        <v>400</v>
      </c>
      <c r="J15" s="5">
        <v>400</v>
      </c>
      <c r="K15" s="5">
        <v>400</v>
      </c>
      <c r="L15" s="5">
        <v>400</v>
      </c>
      <c r="M15" s="5">
        <v>0</v>
      </c>
      <c r="N15" s="5">
        <v>400</v>
      </c>
      <c r="O15" s="5">
        <v>400</v>
      </c>
      <c r="Q15" s="5">
        <f t="shared" ca="1" si="3"/>
        <v>500</v>
      </c>
    </row>
    <row r="16" spans="1:21" x14ac:dyDescent="0.25">
      <c r="A16" s="17">
        <f t="shared" ca="1" si="5"/>
        <v>45814</v>
      </c>
      <c r="B16" s="114" t="str">
        <f t="shared" ca="1" si="4"/>
        <v>Пт</v>
      </c>
      <c r="C16" s="117">
        <f t="shared" si="6"/>
        <v>6</v>
      </c>
      <c r="D16" s="111">
        <v>0</v>
      </c>
      <c r="E16" s="5">
        <v>400</v>
      </c>
      <c r="F16" s="5">
        <v>400</v>
      </c>
      <c r="G16" s="5">
        <v>0</v>
      </c>
      <c r="H16" s="5">
        <v>400</v>
      </c>
      <c r="I16" s="5">
        <v>400</v>
      </c>
      <c r="J16" s="5">
        <v>0</v>
      </c>
      <c r="K16" s="5">
        <v>400</v>
      </c>
      <c r="L16" s="5">
        <v>400</v>
      </c>
      <c r="M16" s="5">
        <v>0</v>
      </c>
      <c r="N16" s="5">
        <v>0</v>
      </c>
      <c r="O16" s="5">
        <v>400</v>
      </c>
      <c r="Q16" s="5">
        <f t="shared" ca="1" si="3"/>
        <v>500</v>
      </c>
    </row>
    <row r="17" spans="1:17" x14ac:dyDescent="0.25">
      <c r="A17" s="17">
        <f t="shared" ca="1" si="5"/>
        <v>45815</v>
      </c>
      <c r="B17" s="114" t="str">
        <f t="shared" ca="1" si="4"/>
        <v>Сб</v>
      </c>
      <c r="C17" s="117">
        <f t="shared" si="6"/>
        <v>7</v>
      </c>
      <c r="D17" s="111">
        <v>0</v>
      </c>
      <c r="E17" s="5">
        <v>400</v>
      </c>
      <c r="F17" s="5">
        <v>400</v>
      </c>
      <c r="G17" s="5">
        <v>0</v>
      </c>
      <c r="H17" s="5">
        <v>400</v>
      </c>
      <c r="I17" s="5">
        <v>400</v>
      </c>
      <c r="J17" s="5">
        <v>0</v>
      </c>
      <c r="K17" s="5">
        <v>400</v>
      </c>
      <c r="L17" s="5">
        <v>0</v>
      </c>
      <c r="M17" s="5">
        <v>400</v>
      </c>
      <c r="N17" s="5">
        <v>400</v>
      </c>
      <c r="O17" s="5">
        <v>0</v>
      </c>
      <c r="Q17" s="5">
        <f t="shared" ca="1" si="3"/>
        <v>0</v>
      </c>
    </row>
    <row r="18" spans="1:17" x14ac:dyDescent="0.25">
      <c r="A18" s="17">
        <f t="shared" ca="1" si="5"/>
        <v>45816</v>
      </c>
      <c r="B18" s="114" t="str">
        <f t="shared" ca="1" si="4"/>
        <v>Вс</v>
      </c>
      <c r="C18" s="117">
        <f t="shared" si="6"/>
        <v>8</v>
      </c>
      <c r="D18" s="111">
        <v>400</v>
      </c>
      <c r="E18" s="5">
        <v>400</v>
      </c>
      <c r="F18" s="5">
        <v>400</v>
      </c>
      <c r="G18" s="5">
        <v>400</v>
      </c>
      <c r="H18" s="5">
        <v>400</v>
      </c>
      <c r="I18" s="5">
        <v>0</v>
      </c>
      <c r="J18" s="5">
        <v>400</v>
      </c>
      <c r="K18" s="5">
        <v>400</v>
      </c>
      <c r="L18" s="5">
        <v>0</v>
      </c>
      <c r="M18" s="5">
        <v>400</v>
      </c>
      <c r="N18" s="5">
        <v>400</v>
      </c>
      <c r="O18" s="5">
        <v>0</v>
      </c>
      <c r="Q18" s="5">
        <f t="shared" ca="1" si="3"/>
        <v>0</v>
      </c>
    </row>
    <row r="19" spans="1:17" x14ac:dyDescent="0.25">
      <c r="A19" s="17">
        <f t="shared" ca="1" si="5"/>
        <v>45817</v>
      </c>
      <c r="B19" s="114" t="str">
        <f t="shared" ca="1" si="4"/>
        <v>Пн</v>
      </c>
      <c r="C19" s="117">
        <f t="shared" si="6"/>
        <v>9</v>
      </c>
      <c r="D19" s="111">
        <v>400</v>
      </c>
      <c r="E19" s="5">
        <v>400</v>
      </c>
      <c r="F19" s="5">
        <v>0</v>
      </c>
      <c r="G19" s="5">
        <v>400</v>
      </c>
      <c r="H19" s="5">
        <v>400</v>
      </c>
      <c r="I19" s="5">
        <v>0</v>
      </c>
      <c r="J19" s="5">
        <v>400</v>
      </c>
      <c r="K19" s="5">
        <v>400</v>
      </c>
      <c r="L19" s="5">
        <v>400</v>
      </c>
      <c r="M19" s="5">
        <v>400</v>
      </c>
      <c r="N19" s="5">
        <v>0</v>
      </c>
      <c r="O19" s="5">
        <v>400</v>
      </c>
      <c r="Q19" s="5">
        <f t="shared" ca="1" si="3"/>
        <v>500</v>
      </c>
    </row>
    <row r="20" spans="1:17" x14ac:dyDescent="0.25">
      <c r="A20" s="17">
        <f t="shared" ca="1" si="5"/>
        <v>45818</v>
      </c>
      <c r="B20" s="114" t="str">
        <f t="shared" ca="1" si="4"/>
        <v>Вт</v>
      </c>
      <c r="C20" s="117">
        <f t="shared" si="6"/>
        <v>10</v>
      </c>
      <c r="D20" s="111">
        <v>400</v>
      </c>
      <c r="E20" s="5">
        <v>0</v>
      </c>
      <c r="F20" s="5">
        <v>0</v>
      </c>
      <c r="G20" s="5">
        <v>400</v>
      </c>
      <c r="H20" s="5">
        <v>400</v>
      </c>
      <c r="I20" s="5">
        <v>400</v>
      </c>
      <c r="J20" s="5">
        <v>400</v>
      </c>
      <c r="K20" s="5">
        <v>0</v>
      </c>
      <c r="L20" s="5">
        <v>400</v>
      </c>
      <c r="M20" s="5">
        <v>400</v>
      </c>
      <c r="N20" s="5">
        <v>0</v>
      </c>
      <c r="O20" s="5">
        <v>400</v>
      </c>
      <c r="Q20" s="5">
        <f t="shared" ca="1" si="3"/>
        <v>500</v>
      </c>
    </row>
    <row r="21" spans="1:17" x14ac:dyDescent="0.25">
      <c r="A21" s="17">
        <f t="shared" ca="1" si="5"/>
        <v>45819</v>
      </c>
      <c r="B21" s="114" t="str">
        <f t="shared" ca="1" si="4"/>
        <v>Ср</v>
      </c>
      <c r="C21" s="117">
        <f t="shared" si="6"/>
        <v>11</v>
      </c>
      <c r="D21" s="111">
        <v>400</v>
      </c>
      <c r="E21" s="5">
        <v>0</v>
      </c>
      <c r="F21" s="5">
        <v>400</v>
      </c>
      <c r="G21" s="5">
        <v>400</v>
      </c>
      <c r="H21" s="5">
        <v>0</v>
      </c>
      <c r="I21" s="5">
        <v>400</v>
      </c>
      <c r="J21" s="5">
        <v>400</v>
      </c>
      <c r="K21" s="5">
        <v>0</v>
      </c>
      <c r="L21" s="5">
        <v>400</v>
      </c>
      <c r="M21" s="5">
        <v>400</v>
      </c>
      <c r="N21" s="5">
        <v>400</v>
      </c>
      <c r="O21" s="5">
        <v>400</v>
      </c>
      <c r="Q21" s="5">
        <f t="shared" ca="1" si="3"/>
        <v>500</v>
      </c>
    </row>
    <row r="22" spans="1:17" x14ac:dyDescent="0.25">
      <c r="A22" s="17">
        <f t="shared" ca="1" si="5"/>
        <v>45820</v>
      </c>
      <c r="B22" s="114" t="str">
        <f t="shared" ca="1" si="4"/>
        <v>Чт</v>
      </c>
      <c r="C22" s="117">
        <f t="shared" si="6"/>
        <v>12</v>
      </c>
      <c r="D22" s="111">
        <v>400</v>
      </c>
      <c r="E22" s="5">
        <v>400</v>
      </c>
      <c r="F22" s="5">
        <v>400</v>
      </c>
      <c r="G22" s="5">
        <v>400</v>
      </c>
      <c r="H22" s="5">
        <v>0</v>
      </c>
      <c r="I22" s="5">
        <v>0</v>
      </c>
      <c r="J22" s="5">
        <v>400</v>
      </c>
      <c r="K22" s="5">
        <v>400</v>
      </c>
      <c r="L22" s="5">
        <v>400</v>
      </c>
      <c r="M22" s="5">
        <v>0</v>
      </c>
      <c r="N22" s="5">
        <v>400</v>
      </c>
      <c r="O22" s="5">
        <v>400</v>
      </c>
      <c r="Q22" s="5">
        <f t="shared" ca="1" si="3"/>
        <v>500</v>
      </c>
    </row>
    <row r="23" spans="1:17" x14ac:dyDescent="0.25">
      <c r="A23" s="17">
        <f t="shared" ca="1" si="5"/>
        <v>45821</v>
      </c>
      <c r="B23" s="114" t="str">
        <f t="shared" ca="1" si="4"/>
        <v>Пт</v>
      </c>
      <c r="C23" s="117">
        <f t="shared" si="6"/>
        <v>13</v>
      </c>
      <c r="D23" s="111">
        <v>0</v>
      </c>
      <c r="E23" s="5">
        <v>400</v>
      </c>
      <c r="F23" s="5">
        <v>400</v>
      </c>
      <c r="G23" s="5">
        <v>0</v>
      </c>
      <c r="H23" s="5">
        <v>400</v>
      </c>
      <c r="I23" s="5">
        <v>400</v>
      </c>
      <c r="J23" s="5">
        <v>0</v>
      </c>
      <c r="K23" s="5">
        <v>400</v>
      </c>
      <c r="L23" s="5">
        <v>400</v>
      </c>
      <c r="M23" s="5">
        <v>0</v>
      </c>
      <c r="N23" s="5">
        <v>400</v>
      </c>
      <c r="O23" s="5">
        <v>400</v>
      </c>
      <c r="Q23" s="5">
        <f t="shared" ca="1" si="3"/>
        <v>500</v>
      </c>
    </row>
    <row r="24" spans="1:17" x14ac:dyDescent="0.25">
      <c r="A24" s="17">
        <f t="shared" ca="1" si="5"/>
        <v>45822</v>
      </c>
      <c r="B24" s="114" t="str">
        <f t="shared" ca="1" si="4"/>
        <v>Сб</v>
      </c>
      <c r="C24" s="117">
        <f t="shared" si="6"/>
        <v>14</v>
      </c>
      <c r="D24" s="111">
        <v>0</v>
      </c>
      <c r="E24" s="5">
        <v>400</v>
      </c>
      <c r="F24" s="5">
        <v>400</v>
      </c>
      <c r="G24" s="5">
        <v>0</v>
      </c>
      <c r="H24" s="5">
        <v>400</v>
      </c>
      <c r="I24" s="5">
        <v>400</v>
      </c>
      <c r="J24" s="5">
        <v>0</v>
      </c>
      <c r="K24" s="5">
        <v>400</v>
      </c>
      <c r="L24" s="5">
        <v>0</v>
      </c>
      <c r="M24" s="5">
        <v>400</v>
      </c>
      <c r="N24" s="5">
        <v>400</v>
      </c>
      <c r="O24" s="5">
        <v>0</v>
      </c>
      <c r="Q24" s="5">
        <f t="shared" ca="1" si="3"/>
        <v>0</v>
      </c>
    </row>
    <row r="25" spans="1:17" x14ac:dyDescent="0.25">
      <c r="A25" s="17">
        <f t="shared" ca="1" si="5"/>
        <v>45823</v>
      </c>
      <c r="B25" s="114" t="str">
        <f t="shared" ca="1" si="4"/>
        <v>Вс</v>
      </c>
      <c r="C25" s="117">
        <f t="shared" si="6"/>
        <v>15</v>
      </c>
      <c r="D25" s="111">
        <v>400</v>
      </c>
      <c r="E25" s="5">
        <v>400</v>
      </c>
      <c r="F25" s="5">
        <v>400</v>
      </c>
      <c r="G25" s="5">
        <v>400</v>
      </c>
      <c r="H25" s="5">
        <v>400</v>
      </c>
      <c r="I25" s="5">
        <v>0</v>
      </c>
      <c r="J25" s="5">
        <v>400</v>
      </c>
      <c r="K25" s="5">
        <v>400</v>
      </c>
      <c r="L25" s="5">
        <v>0</v>
      </c>
      <c r="M25" s="5">
        <v>400</v>
      </c>
      <c r="N25" s="5">
        <v>400</v>
      </c>
      <c r="O25" s="5">
        <v>0</v>
      </c>
      <c r="Q25" s="5">
        <f t="shared" ca="1" si="3"/>
        <v>0</v>
      </c>
    </row>
    <row r="26" spans="1:17" x14ac:dyDescent="0.25">
      <c r="A26" s="17">
        <f t="shared" ca="1" si="5"/>
        <v>45824</v>
      </c>
      <c r="B26" s="114" t="str">
        <f t="shared" ca="1" si="4"/>
        <v>Пн</v>
      </c>
      <c r="C26" s="117">
        <f t="shared" si="6"/>
        <v>16</v>
      </c>
      <c r="D26" s="111">
        <v>400</v>
      </c>
      <c r="E26" s="5">
        <v>400</v>
      </c>
      <c r="F26" s="5">
        <v>0</v>
      </c>
      <c r="G26" s="5">
        <v>400</v>
      </c>
      <c r="H26" s="5">
        <v>400</v>
      </c>
      <c r="I26" s="5">
        <v>0</v>
      </c>
      <c r="J26" s="5">
        <v>400</v>
      </c>
      <c r="K26" s="5">
        <v>400</v>
      </c>
      <c r="L26" s="5">
        <v>400</v>
      </c>
      <c r="M26" s="5">
        <v>400</v>
      </c>
      <c r="N26" s="5">
        <v>0</v>
      </c>
      <c r="O26" s="5">
        <v>400</v>
      </c>
      <c r="Q26" s="5">
        <f t="shared" ca="1" si="3"/>
        <v>500</v>
      </c>
    </row>
    <row r="27" spans="1:17" x14ac:dyDescent="0.25">
      <c r="A27" s="17">
        <f t="shared" ca="1" si="5"/>
        <v>45825</v>
      </c>
      <c r="B27" s="114" t="str">
        <f t="shared" ca="1" si="4"/>
        <v>Вт</v>
      </c>
      <c r="C27" s="117">
        <f t="shared" si="6"/>
        <v>17</v>
      </c>
      <c r="D27" s="111">
        <v>400</v>
      </c>
      <c r="E27" s="5">
        <v>0</v>
      </c>
      <c r="F27" s="5">
        <v>0</v>
      </c>
      <c r="G27" s="5">
        <v>400</v>
      </c>
      <c r="H27" s="5">
        <v>400</v>
      </c>
      <c r="I27" s="5">
        <v>400</v>
      </c>
      <c r="J27" s="5">
        <v>400</v>
      </c>
      <c r="K27" s="5">
        <v>0</v>
      </c>
      <c r="L27" s="5">
        <v>400</v>
      </c>
      <c r="M27" s="5">
        <v>400</v>
      </c>
      <c r="N27" s="5">
        <v>0</v>
      </c>
      <c r="O27" s="5">
        <v>400</v>
      </c>
      <c r="Q27" s="5">
        <f t="shared" ca="1" si="3"/>
        <v>500</v>
      </c>
    </row>
    <row r="28" spans="1:17" x14ac:dyDescent="0.25">
      <c r="A28" s="17">
        <f t="shared" ca="1" si="5"/>
        <v>45826</v>
      </c>
      <c r="B28" s="114" t="str">
        <f t="shared" ca="1" si="4"/>
        <v>Ср</v>
      </c>
      <c r="C28" s="117">
        <f t="shared" si="6"/>
        <v>18</v>
      </c>
      <c r="D28" s="111">
        <v>400</v>
      </c>
      <c r="E28" s="5">
        <v>0</v>
      </c>
      <c r="F28" s="5">
        <v>400</v>
      </c>
      <c r="G28" s="5">
        <v>400</v>
      </c>
      <c r="H28" s="5">
        <v>0</v>
      </c>
      <c r="I28" s="5">
        <v>400</v>
      </c>
      <c r="J28" s="5">
        <v>400</v>
      </c>
      <c r="K28" s="5">
        <v>0</v>
      </c>
      <c r="L28" s="5">
        <v>400</v>
      </c>
      <c r="M28" s="5">
        <v>400</v>
      </c>
      <c r="N28" s="5">
        <v>400</v>
      </c>
      <c r="O28" s="5">
        <v>400</v>
      </c>
      <c r="Q28" s="5">
        <f t="shared" ca="1" si="3"/>
        <v>500</v>
      </c>
    </row>
    <row r="29" spans="1:17" x14ac:dyDescent="0.25">
      <c r="A29" s="17">
        <f t="shared" ca="1" si="5"/>
        <v>45827</v>
      </c>
      <c r="B29" s="114" t="str">
        <f t="shared" ca="1" si="4"/>
        <v>Чт</v>
      </c>
      <c r="C29" s="117">
        <f t="shared" si="6"/>
        <v>19</v>
      </c>
      <c r="D29" s="111">
        <v>400</v>
      </c>
      <c r="E29" s="5">
        <v>400</v>
      </c>
      <c r="F29" s="5">
        <v>400</v>
      </c>
      <c r="G29" s="5">
        <v>400</v>
      </c>
      <c r="H29" s="5">
        <v>0</v>
      </c>
      <c r="I29" s="5">
        <v>400</v>
      </c>
      <c r="J29" s="5">
        <v>400</v>
      </c>
      <c r="K29" s="5">
        <v>400</v>
      </c>
      <c r="L29" s="5">
        <v>400</v>
      </c>
      <c r="M29" s="5">
        <v>0</v>
      </c>
      <c r="N29" s="5">
        <v>400</v>
      </c>
      <c r="O29" s="5">
        <v>400</v>
      </c>
      <c r="Q29" s="5">
        <f t="shared" ca="1" si="3"/>
        <v>500</v>
      </c>
    </row>
    <row r="30" spans="1:17" x14ac:dyDescent="0.25">
      <c r="A30" s="17">
        <f t="shared" ca="1" si="5"/>
        <v>45828</v>
      </c>
      <c r="B30" s="114" t="str">
        <f t="shared" ca="1" si="4"/>
        <v>Пт</v>
      </c>
      <c r="C30" s="117">
        <f t="shared" si="6"/>
        <v>20</v>
      </c>
      <c r="D30" s="111">
        <v>0</v>
      </c>
      <c r="E30" s="5">
        <v>400</v>
      </c>
      <c r="F30" s="5">
        <v>400</v>
      </c>
      <c r="G30" s="5">
        <v>0</v>
      </c>
      <c r="H30" s="5">
        <v>400</v>
      </c>
      <c r="I30" s="5">
        <v>400</v>
      </c>
      <c r="J30" s="5">
        <v>0</v>
      </c>
      <c r="K30" s="5">
        <v>400</v>
      </c>
      <c r="L30" s="5">
        <v>400</v>
      </c>
      <c r="M30" s="5">
        <v>0</v>
      </c>
      <c r="N30" s="5">
        <v>400</v>
      </c>
      <c r="O30" s="5">
        <v>400</v>
      </c>
      <c r="Q30" s="5">
        <f t="shared" ca="1" si="3"/>
        <v>500</v>
      </c>
    </row>
    <row r="31" spans="1:17" x14ac:dyDescent="0.25">
      <c r="A31" s="17">
        <f t="shared" ca="1" si="5"/>
        <v>45829</v>
      </c>
      <c r="B31" s="114" t="str">
        <f t="shared" ca="1" si="4"/>
        <v>Сб</v>
      </c>
      <c r="C31" s="117">
        <f t="shared" si="6"/>
        <v>21</v>
      </c>
      <c r="D31" s="111">
        <v>0</v>
      </c>
      <c r="E31" s="5">
        <v>400</v>
      </c>
      <c r="F31" s="5">
        <v>400</v>
      </c>
      <c r="G31" s="5">
        <v>0</v>
      </c>
      <c r="H31" s="5">
        <v>400</v>
      </c>
      <c r="I31" s="5">
        <v>400</v>
      </c>
      <c r="J31" s="5">
        <v>0</v>
      </c>
      <c r="K31" s="5">
        <v>400</v>
      </c>
      <c r="L31" s="5">
        <v>0</v>
      </c>
      <c r="M31" s="5">
        <v>400</v>
      </c>
      <c r="N31" s="5">
        <v>400</v>
      </c>
      <c r="O31" s="5">
        <v>0</v>
      </c>
      <c r="Q31" s="5">
        <f t="shared" ca="1" si="3"/>
        <v>0</v>
      </c>
    </row>
    <row r="32" spans="1:17" x14ac:dyDescent="0.25">
      <c r="A32" s="17">
        <f t="shared" ca="1" si="5"/>
        <v>45830</v>
      </c>
      <c r="B32" s="114" t="str">
        <f t="shared" ca="1" si="4"/>
        <v>Вс</v>
      </c>
      <c r="C32" s="117">
        <f t="shared" si="6"/>
        <v>22</v>
      </c>
      <c r="D32" s="111">
        <v>400</v>
      </c>
      <c r="E32" s="5">
        <v>400</v>
      </c>
      <c r="F32" s="5">
        <v>400</v>
      </c>
      <c r="G32" s="5">
        <v>400</v>
      </c>
      <c r="H32" s="5">
        <v>400</v>
      </c>
      <c r="I32" s="5">
        <v>0</v>
      </c>
      <c r="J32" s="5">
        <v>400</v>
      </c>
      <c r="K32" s="5">
        <v>400</v>
      </c>
      <c r="L32" s="5">
        <v>0</v>
      </c>
      <c r="M32" s="5">
        <v>400</v>
      </c>
      <c r="N32" s="5">
        <v>400</v>
      </c>
      <c r="O32" s="5">
        <v>0</v>
      </c>
      <c r="Q32" s="5">
        <f t="shared" ca="1" si="3"/>
        <v>0</v>
      </c>
    </row>
    <row r="33" spans="1:17" x14ac:dyDescent="0.25">
      <c r="A33" s="17">
        <f t="shared" ca="1" si="5"/>
        <v>45831</v>
      </c>
      <c r="B33" s="114" t="str">
        <f t="shared" ca="1" si="4"/>
        <v>Пн</v>
      </c>
      <c r="C33" s="117">
        <f t="shared" si="6"/>
        <v>23</v>
      </c>
      <c r="D33" s="111">
        <v>400</v>
      </c>
      <c r="E33" s="5">
        <v>400</v>
      </c>
      <c r="F33" s="5">
        <v>0</v>
      </c>
      <c r="G33" s="5">
        <v>400</v>
      </c>
      <c r="H33" s="5">
        <v>400</v>
      </c>
      <c r="I33" s="5">
        <v>0</v>
      </c>
      <c r="J33" s="5">
        <v>400</v>
      </c>
      <c r="K33" s="5">
        <v>400</v>
      </c>
      <c r="L33" s="5">
        <v>400</v>
      </c>
      <c r="M33" s="5">
        <v>400</v>
      </c>
      <c r="N33" s="5">
        <v>0</v>
      </c>
      <c r="O33" s="5">
        <v>400</v>
      </c>
      <c r="Q33" s="5">
        <f t="shared" ca="1" si="3"/>
        <v>500</v>
      </c>
    </row>
    <row r="34" spans="1:17" x14ac:dyDescent="0.25">
      <c r="A34" s="17">
        <f t="shared" ca="1" si="5"/>
        <v>45832</v>
      </c>
      <c r="B34" s="114" t="str">
        <f t="shared" ca="1" si="4"/>
        <v>Вт</v>
      </c>
      <c r="C34" s="117">
        <f t="shared" si="6"/>
        <v>24</v>
      </c>
      <c r="D34" s="111">
        <v>400</v>
      </c>
      <c r="E34" s="5">
        <v>0</v>
      </c>
      <c r="F34" s="5">
        <v>0</v>
      </c>
      <c r="G34" s="5">
        <v>400</v>
      </c>
      <c r="H34" s="5">
        <v>400</v>
      </c>
      <c r="I34" s="5">
        <v>400</v>
      </c>
      <c r="J34" s="5">
        <v>400</v>
      </c>
      <c r="K34" s="5">
        <v>0</v>
      </c>
      <c r="L34" s="5">
        <v>400</v>
      </c>
      <c r="M34" s="5">
        <v>400</v>
      </c>
      <c r="N34" s="5">
        <v>0</v>
      </c>
      <c r="O34" s="5">
        <v>400</v>
      </c>
      <c r="Q34" s="5">
        <f t="shared" ca="1" si="3"/>
        <v>500</v>
      </c>
    </row>
    <row r="35" spans="1:17" x14ac:dyDescent="0.25">
      <c r="A35" s="17">
        <f t="shared" ca="1" si="5"/>
        <v>45833</v>
      </c>
      <c r="B35" s="114" t="str">
        <f t="shared" ca="1" si="4"/>
        <v>Ср</v>
      </c>
      <c r="C35" s="117">
        <f>C34+1</f>
        <v>25</v>
      </c>
      <c r="D35" s="111">
        <v>400</v>
      </c>
      <c r="E35" s="5">
        <v>0</v>
      </c>
      <c r="F35" s="5">
        <v>400</v>
      </c>
      <c r="G35" s="5">
        <v>400</v>
      </c>
      <c r="H35" s="5">
        <v>0</v>
      </c>
      <c r="I35" s="5">
        <v>400</v>
      </c>
      <c r="J35" s="5">
        <v>400</v>
      </c>
      <c r="K35" s="5">
        <v>0</v>
      </c>
      <c r="L35" s="5">
        <v>400</v>
      </c>
      <c r="M35" s="5">
        <v>400</v>
      </c>
      <c r="N35" s="5">
        <v>400</v>
      </c>
      <c r="O35" s="5">
        <v>400</v>
      </c>
      <c r="Q35" s="5">
        <f t="shared" ca="1" si="3"/>
        <v>500</v>
      </c>
    </row>
    <row r="36" spans="1:17" x14ac:dyDescent="0.25">
      <c r="A36" s="17">
        <f t="shared" ca="1" si="5"/>
        <v>45834</v>
      </c>
      <c r="B36" s="114" t="str">
        <f t="shared" ca="1" si="4"/>
        <v>Чт</v>
      </c>
      <c r="C36" s="117">
        <f t="shared" si="6"/>
        <v>26</v>
      </c>
      <c r="D36" s="111">
        <v>400</v>
      </c>
      <c r="E36" s="5">
        <v>400</v>
      </c>
      <c r="F36" s="5">
        <v>400</v>
      </c>
      <c r="G36" s="5">
        <v>400</v>
      </c>
      <c r="H36" s="5">
        <v>0</v>
      </c>
      <c r="I36" s="5">
        <v>400</v>
      </c>
      <c r="J36" s="5">
        <v>400</v>
      </c>
      <c r="K36" s="5">
        <v>400</v>
      </c>
      <c r="L36" s="5">
        <v>400</v>
      </c>
      <c r="M36" s="5">
        <v>0</v>
      </c>
      <c r="N36" s="5">
        <v>400</v>
      </c>
      <c r="O36" s="5">
        <v>400</v>
      </c>
      <c r="Q36" s="5">
        <f t="shared" ca="1" si="3"/>
        <v>500</v>
      </c>
    </row>
    <row r="37" spans="1:17" x14ac:dyDescent="0.25">
      <c r="A37" s="17">
        <f t="shared" ca="1" si="5"/>
        <v>45835</v>
      </c>
      <c r="B37" s="114" t="str">
        <f t="shared" ca="1" si="4"/>
        <v>Пт</v>
      </c>
      <c r="C37" s="117">
        <f t="shared" si="6"/>
        <v>27</v>
      </c>
      <c r="D37" s="111">
        <v>0</v>
      </c>
      <c r="E37" s="5">
        <v>400</v>
      </c>
      <c r="F37" s="5">
        <v>400</v>
      </c>
      <c r="G37" s="5">
        <v>0</v>
      </c>
      <c r="H37" s="5">
        <v>400</v>
      </c>
      <c r="I37" s="5">
        <v>400</v>
      </c>
      <c r="J37" s="5">
        <v>0</v>
      </c>
      <c r="K37" s="5">
        <v>400</v>
      </c>
      <c r="L37" s="5">
        <v>400</v>
      </c>
      <c r="M37" s="5">
        <v>0</v>
      </c>
      <c r="N37" s="5">
        <v>400</v>
      </c>
      <c r="O37" s="5">
        <v>400</v>
      </c>
      <c r="Q37" s="5">
        <f t="shared" ca="1" si="3"/>
        <v>500</v>
      </c>
    </row>
    <row r="38" spans="1:17" x14ac:dyDescent="0.25">
      <c r="A38" s="17">
        <f t="shared" ca="1" si="5"/>
        <v>45836</v>
      </c>
      <c r="B38" s="114" t="str">
        <f t="shared" ca="1" si="4"/>
        <v>Сб</v>
      </c>
      <c r="C38" s="117">
        <f t="shared" si="6"/>
        <v>28</v>
      </c>
      <c r="D38" s="111">
        <v>0</v>
      </c>
      <c r="E38" s="5">
        <v>400</v>
      </c>
      <c r="F38" s="5">
        <v>400</v>
      </c>
      <c r="G38" s="5">
        <v>0</v>
      </c>
      <c r="H38" s="5">
        <v>400</v>
      </c>
      <c r="I38" s="5">
        <v>400</v>
      </c>
      <c r="J38" s="5">
        <v>0</v>
      </c>
      <c r="K38" s="5">
        <v>400</v>
      </c>
      <c r="L38" s="5">
        <v>0</v>
      </c>
      <c r="M38" s="5">
        <v>400</v>
      </c>
      <c r="N38" s="5">
        <v>400</v>
      </c>
      <c r="O38" s="5">
        <v>0</v>
      </c>
      <c r="Q38" s="5">
        <f t="shared" ca="1" si="3"/>
        <v>0</v>
      </c>
    </row>
    <row r="39" spans="1:17" x14ac:dyDescent="0.25">
      <c r="A39" s="17">
        <f t="shared" ref="A39:A40" ca="1" si="7">IF(A38="","",IF(MONTH(A38+1)=MONTH(A38),A38+1,""))</f>
        <v>45837</v>
      </c>
      <c r="B39" s="114" t="str">
        <f t="shared" ca="1" si="4"/>
        <v>Вс</v>
      </c>
      <c r="C39" s="117">
        <f>C38+1</f>
        <v>29</v>
      </c>
      <c r="D39" s="111">
        <v>400</v>
      </c>
      <c r="E39" s="5">
        <v>400</v>
      </c>
      <c r="F39" s="5">
        <v>400</v>
      </c>
      <c r="G39" s="5">
        <v>400</v>
      </c>
      <c r="H39" s="5">
        <v>400</v>
      </c>
      <c r="I39" s="5">
        <v>0</v>
      </c>
      <c r="J39" s="5">
        <v>400</v>
      </c>
      <c r="K39" s="5">
        <v>400</v>
      </c>
      <c r="L39" s="5">
        <v>0</v>
      </c>
      <c r="M39" s="5">
        <v>400</v>
      </c>
      <c r="N39" s="5">
        <v>400</v>
      </c>
      <c r="O39" s="5">
        <v>0</v>
      </c>
      <c r="Q39" s="5">
        <f ca="1">IF(OR($B39="Сб",$B39="Вс",$B39=""),0,$Q$6)</f>
        <v>0</v>
      </c>
    </row>
    <row r="40" spans="1:17" x14ac:dyDescent="0.25">
      <c r="A40" s="17">
        <f t="shared" ca="1" si="7"/>
        <v>45838</v>
      </c>
      <c r="B40" s="114" t="str">
        <f t="shared" ca="1" si="4"/>
        <v>Пн</v>
      </c>
      <c r="C40" s="117">
        <f t="shared" si="6"/>
        <v>30</v>
      </c>
      <c r="D40" s="111">
        <v>400</v>
      </c>
      <c r="E40" s="5">
        <v>0</v>
      </c>
      <c r="F40" s="5">
        <v>0</v>
      </c>
      <c r="G40" s="5">
        <v>400</v>
      </c>
      <c r="H40" s="5">
        <v>400</v>
      </c>
      <c r="I40" s="5">
        <v>0</v>
      </c>
      <c r="J40" s="5">
        <v>400</v>
      </c>
      <c r="K40" s="5">
        <v>0</v>
      </c>
      <c r="L40" s="5">
        <v>400</v>
      </c>
      <c r="M40" s="5">
        <v>400</v>
      </c>
      <c r="N40" s="5">
        <v>0</v>
      </c>
      <c r="O40" s="5">
        <v>0</v>
      </c>
      <c r="Q40" s="5">
        <f t="shared" ref="Q40:Q41" ca="1" si="8">IF(OR($B40="Сб",$B40="Вс",$B40=""),0,$Q$6)</f>
        <v>500</v>
      </c>
    </row>
    <row r="41" spans="1:17" ht="15.75" thickBot="1" x14ac:dyDescent="0.3">
      <c r="A41" s="17" t="str">
        <f ca="1">IF(A40="","",IF(MONTH(A40+1)=MONTH(A40),A40+1,""))</f>
        <v/>
      </c>
      <c r="B41" s="114" t="str">
        <f t="shared" ca="1" si="4"/>
        <v/>
      </c>
      <c r="C41" s="118">
        <f t="shared" si="6"/>
        <v>31</v>
      </c>
      <c r="D41" s="111">
        <v>400</v>
      </c>
      <c r="E41" s="5">
        <v>0</v>
      </c>
      <c r="F41" s="5">
        <v>0</v>
      </c>
      <c r="G41" s="5">
        <v>0</v>
      </c>
      <c r="H41" s="5">
        <v>400</v>
      </c>
      <c r="I41" s="5">
        <v>0</v>
      </c>
      <c r="J41" s="5">
        <v>400</v>
      </c>
      <c r="K41" s="5">
        <v>0</v>
      </c>
      <c r="L41" s="5">
        <v>0</v>
      </c>
      <c r="M41" s="5">
        <v>400</v>
      </c>
      <c r="N41" s="5">
        <v>0</v>
      </c>
      <c r="O41" s="5">
        <v>0</v>
      </c>
      <c r="Q41" s="5">
        <f t="shared" ca="1" si="8"/>
        <v>0</v>
      </c>
    </row>
  </sheetData>
  <autoFilter ref="A10:O10" xr:uid="{00000000-0009-0000-0000-000001000000}"/>
  <mergeCells count="6">
    <mergeCell ref="Q7:Q9"/>
    <mergeCell ref="A2:O2"/>
    <mergeCell ref="A7:A8"/>
    <mergeCell ref="B7:B8"/>
    <mergeCell ref="C7:C8"/>
    <mergeCell ref="D7:O7"/>
  </mergeCells>
  <conditionalFormatting sqref="B11:B41">
    <cfRule type="containsText" dxfId="3" priority="1" operator="containsText" text="Вс">
      <formula>NOT(ISERROR(SEARCH("Вс",B11)))</formula>
    </cfRule>
    <cfRule type="containsText" dxfId="2" priority="2" operator="containsText" text="Сб">
      <formula>NOT(ISERROR(SEARCH("Сб",B11)))</formula>
    </cfRule>
  </conditionalFormatting>
  <dataValidations count="1">
    <dataValidation showInputMessage="1" showErrorMessage="1" sqref="B5" xr:uid="{00000000-0002-0000-0100-000000000000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zoomScale="91" zoomScaleNormal="91" workbookViewId="0">
      <pane xSplit="3" ySplit="10" topLeftCell="D14" activePane="bottomRight" state="frozen"/>
      <selection activeCell="D15" sqref="D15"/>
      <selection pane="topRight" activeCell="D15" sqref="D15"/>
      <selection pane="bottomLeft" activeCell="D15" sqref="D15"/>
      <selection pane="bottomRight" activeCell="K23" sqref="K23"/>
    </sheetView>
  </sheetViews>
  <sheetFormatPr defaultRowHeight="15" x14ac:dyDescent="0.25"/>
  <cols>
    <col min="1" max="1" width="10.5703125" style="14" bestFit="1" customWidth="1"/>
    <col min="2" max="2" width="9.140625" style="15"/>
    <col min="3" max="3" width="6.85546875" style="3" bestFit="1" customWidth="1"/>
    <col min="4" max="4" width="9.85546875" style="2" customWidth="1"/>
    <col min="5" max="5" width="8.140625" style="2" customWidth="1"/>
    <col min="6" max="6" width="7.85546875" style="7" customWidth="1"/>
    <col min="7" max="7" width="7.5703125" style="7" customWidth="1"/>
    <col min="8" max="8" width="7.7109375" style="7" customWidth="1"/>
    <col min="9" max="9" width="8" style="7" customWidth="1"/>
    <col min="10" max="10" width="8.5703125" style="7" customWidth="1"/>
    <col min="11" max="11" width="8.85546875" style="7" customWidth="1"/>
    <col min="12" max="12" width="8.42578125" style="7" customWidth="1"/>
    <col min="13" max="13" width="10.28515625" style="7" customWidth="1"/>
    <col min="14" max="14" width="8.85546875" style="7" customWidth="1"/>
    <col min="15" max="15" width="13" style="7" customWidth="1"/>
    <col min="16" max="16" width="9.140625" style="1"/>
    <col min="17" max="17" width="10.5703125" style="1" customWidth="1"/>
    <col min="18" max="19" width="9.140625" style="1"/>
    <col min="20" max="20" width="11.85546875" style="1" bestFit="1" customWidth="1"/>
    <col min="21" max="21" width="10.140625" style="1" bestFit="1" customWidth="1"/>
    <col min="22" max="16384" width="9.140625" style="1"/>
  </cols>
  <sheetData>
    <row r="1" spans="1:21" s="3" customFormat="1" x14ac:dyDescent="0.25">
      <c r="A1" s="3">
        <v>1</v>
      </c>
      <c r="B1" s="3">
        <f>A1+1</f>
        <v>2</v>
      </c>
      <c r="C1" s="3">
        <f t="shared" ref="C1:O1" si="0">B1+1</f>
        <v>3</v>
      </c>
      <c r="D1" s="3">
        <f t="shared" si="0"/>
        <v>4</v>
      </c>
      <c r="E1" s="3">
        <f t="shared" si="0"/>
        <v>5</v>
      </c>
      <c r="F1" s="3">
        <f t="shared" si="0"/>
        <v>6</v>
      </c>
      <c r="G1" s="3">
        <f t="shared" si="0"/>
        <v>7</v>
      </c>
      <c r="H1" s="3">
        <f t="shared" si="0"/>
        <v>8</v>
      </c>
      <c r="I1" s="3">
        <f t="shared" si="0"/>
        <v>9</v>
      </c>
      <c r="J1" s="3">
        <f t="shared" si="0"/>
        <v>10</v>
      </c>
      <c r="K1" s="3">
        <f t="shared" si="0"/>
        <v>11</v>
      </c>
      <c r="L1" s="3">
        <f t="shared" si="0"/>
        <v>12</v>
      </c>
      <c r="M1" s="3">
        <f t="shared" si="0"/>
        <v>13</v>
      </c>
      <c r="N1" s="3">
        <f t="shared" si="0"/>
        <v>14</v>
      </c>
      <c r="O1" s="3">
        <f t="shared" si="0"/>
        <v>15</v>
      </c>
    </row>
    <row r="2" spans="1:21" s="3" customFormat="1" x14ac:dyDescent="0.25">
      <c r="A2" s="125" t="s">
        <v>85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21" s="3" customFormat="1" x14ac:dyDescent="0.25">
      <c r="A3" s="10">
        <v>11</v>
      </c>
      <c r="B3" s="8" t="s">
        <v>5</v>
      </c>
      <c r="E3" s="9"/>
      <c r="F3" s="9"/>
      <c r="G3" s="9"/>
      <c r="H3" s="9"/>
      <c r="I3" s="9"/>
      <c r="J3" s="9"/>
      <c r="K3" s="9"/>
      <c r="M3" s="9"/>
      <c r="N3" s="9"/>
      <c r="O3" s="9"/>
      <c r="U3" s="22"/>
    </row>
    <row r="4" spans="1:21" s="3" customFormat="1" x14ac:dyDescent="0.25">
      <c r="A4" s="10">
        <v>4</v>
      </c>
      <c r="B4" s="8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</row>
    <row r="5" spans="1:21" s="3" customFormat="1" x14ac:dyDescent="0.25">
      <c r="A5" s="21" t="s">
        <v>83</v>
      </c>
      <c r="B5" s="23" t="s">
        <v>19</v>
      </c>
      <c r="C5" s="107"/>
      <c r="E5" s="24"/>
      <c r="G5" s="9"/>
      <c r="J5" s="9"/>
      <c r="K5" s="9"/>
      <c r="L5" s="9"/>
      <c r="M5" s="9"/>
      <c r="N5" s="9"/>
      <c r="O5" s="9"/>
    </row>
    <row r="6" spans="1:21" s="3" customFormat="1" ht="15.75" thickBot="1" x14ac:dyDescent="0.3">
      <c r="B6" s="8"/>
      <c r="F6" s="6"/>
      <c r="G6" s="6"/>
      <c r="H6" s="6"/>
      <c r="I6" s="6"/>
      <c r="J6" s="6"/>
      <c r="K6" s="6"/>
      <c r="L6" s="6"/>
      <c r="M6" s="6"/>
      <c r="N6" s="6"/>
      <c r="O6" s="6"/>
      <c r="Q6" s="12">
        <v>500</v>
      </c>
    </row>
    <row r="7" spans="1:21" s="4" customFormat="1" x14ac:dyDescent="0.25">
      <c r="A7" s="124" t="s">
        <v>9</v>
      </c>
      <c r="B7" s="130" t="s">
        <v>8</v>
      </c>
      <c r="C7" s="128" t="s">
        <v>6</v>
      </c>
      <c r="D7" s="126" t="s">
        <v>7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Q7" s="124" t="s">
        <v>12</v>
      </c>
    </row>
    <row r="8" spans="1:21" s="6" customFormat="1" x14ac:dyDescent="0.25">
      <c r="A8" s="124"/>
      <c r="B8" s="130"/>
      <c r="C8" s="129"/>
      <c r="D8" s="108">
        <v>1</v>
      </c>
      <c r="E8" s="13">
        <f>D8+1</f>
        <v>2</v>
      </c>
      <c r="F8" s="13">
        <f t="shared" ref="F8:O8" si="1">E8+1</f>
        <v>3</v>
      </c>
      <c r="G8" s="13">
        <f t="shared" si="1"/>
        <v>4</v>
      </c>
      <c r="H8" s="13">
        <f t="shared" si="1"/>
        <v>5</v>
      </c>
      <c r="I8" s="13">
        <f t="shared" si="1"/>
        <v>6</v>
      </c>
      <c r="J8" s="13">
        <f t="shared" si="1"/>
        <v>7</v>
      </c>
      <c r="K8" s="13">
        <f t="shared" si="1"/>
        <v>8</v>
      </c>
      <c r="L8" s="13">
        <f t="shared" si="1"/>
        <v>9</v>
      </c>
      <c r="M8" s="13">
        <f t="shared" si="1"/>
        <v>10</v>
      </c>
      <c r="N8" s="13">
        <f>M8+1</f>
        <v>11</v>
      </c>
      <c r="O8" s="13">
        <f t="shared" si="1"/>
        <v>12</v>
      </c>
      <c r="Q8" s="124"/>
    </row>
    <row r="9" spans="1:21" s="20" customFormat="1" x14ac:dyDescent="0.25">
      <c r="A9" s="18"/>
      <c r="B9" s="112"/>
      <c r="C9" s="115" t="s">
        <v>4</v>
      </c>
      <c r="D9" s="109">
        <f t="shared" ref="D9:O9" si="2">SUM(D11:D41)</f>
        <v>9200</v>
      </c>
      <c r="E9" s="19">
        <f t="shared" si="2"/>
        <v>8400</v>
      </c>
      <c r="F9" s="19">
        <f t="shared" si="2"/>
        <v>8400</v>
      </c>
      <c r="G9" s="19">
        <f t="shared" si="2"/>
        <v>8800</v>
      </c>
      <c r="H9" s="19">
        <f t="shared" si="2"/>
        <v>9200</v>
      </c>
      <c r="I9" s="19">
        <f t="shared" si="2"/>
        <v>0</v>
      </c>
      <c r="J9" s="19">
        <f t="shared" si="2"/>
        <v>0</v>
      </c>
      <c r="K9" s="19">
        <f t="shared" si="2"/>
        <v>0</v>
      </c>
      <c r="L9" s="19">
        <f t="shared" si="2"/>
        <v>0</v>
      </c>
      <c r="M9" s="19">
        <f t="shared" si="2"/>
        <v>0</v>
      </c>
      <c r="N9" s="19">
        <f t="shared" si="2"/>
        <v>0</v>
      </c>
      <c r="O9" s="19">
        <f t="shared" si="2"/>
        <v>0</v>
      </c>
      <c r="Q9" s="124"/>
    </row>
    <row r="10" spans="1:21" s="4" customFormat="1" x14ac:dyDescent="0.25">
      <c r="A10" s="16"/>
      <c r="B10" s="113"/>
      <c r="C10" s="116"/>
      <c r="D10" s="1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Q10" s="16"/>
    </row>
    <row r="11" spans="1:21" x14ac:dyDescent="0.25">
      <c r="A11" s="17">
        <f ca="1">DATEVALUE("1."&amp;$B$5&amp;"."&amp;YEAR(TODAY()))</f>
        <v>45809</v>
      </c>
      <c r="B11" s="114" t="str">
        <f ca="1">TEXT(A11,"ДДД")</f>
        <v>Вс</v>
      </c>
      <c r="C11" s="117">
        <v>1</v>
      </c>
      <c r="D11" s="111">
        <v>400</v>
      </c>
      <c r="E11" s="5">
        <v>400</v>
      </c>
      <c r="F11" s="5">
        <v>400</v>
      </c>
      <c r="G11" s="5">
        <v>400</v>
      </c>
      <c r="H11" s="5">
        <v>400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Q11" s="5">
        <f t="shared" ref="Q11:Q38" ca="1" si="3">IF(OR($B11="Сб",$B11="Вс",$B11=""),0,$Q$6)</f>
        <v>0</v>
      </c>
    </row>
    <row r="12" spans="1:21" x14ac:dyDescent="0.25">
      <c r="A12" s="17">
        <f ca="1">A11+1</f>
        <v>45810</v>
      </c>
      <c r="B12" s="114" t="str">
        <f t="shared" ref="B12:B41" ca="1" si="4">TEXT(A12,"ДДД")</f>
        <v>Пн</v>
      </c>
      <c r="C12" s="117">
        <f>C11+1</f>
        <v>2</v>
      </c>
      <c r="D12" s="111">
        <v>400</v>
      </c>
      <c r="E12" s="5">
        <v>400</v>
      </c>
      <c r="F12" s="5">
        <v>0</v>
      </c>
      <c r="G12" s="5">
        <v>400</v>
      </c>
      <c r="H12" s="5">
        <v>400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Q12" s="5">
        <f t="shared" ca="1" si="3"/>
        <v>500</v>
      </c>
    </row>
    <row r="13" spans="1:21" x14ac:dyDescent="0.25">
      <c r="A13" s="17">
        <f t="shared" ref="A13:A38" ca="1" si="5">A12+1</f>
        <v>45811</v>
      </c>
      <c r="B13" s="114" t="str">
        <f t="shared" ca="1" si="4"/>
        <v>Вт</v>
      </c>
      <c r="C13" s="117">
        <f t="shared" ref="C13:C41" si="6">C12+1</f>
        <v>3</v>
      </c>
      <c r="D13" s="111">
        <v>400</v>
      </c>
      <c r="E13" s="5">
        <v>0</v>
      </c>
      <c r="F13" s="5">
        <v>0</v>
      </c>
      <c r="G13" s="5">
        <v>400</v>
      </c>
      <c r="H13" s="5">
        <v>400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Q13" s="5">
        <f t="shared" ca="1" si="3"/>
        <v>500</v>
      </c>
    </row>
    <row r="14" spans="1:21" x14ac:dyDescent="0.25">
      <c r="A14" s="17">
        <f t="shared" ca="1" si="5"/>
        <v>45812</v>
      </c>
      <c r="B14" s="114" t="str">
        <f t="shared" ca="1" si="4"/>
        <v>Ср</v>
      </c>
      <c r="C14" s="117">
        <f t="shared" si="6"/>
        <v>4</v>
      </c>
      <c r="D14" s="111">
        <v>400</v>
      </c>
      <c r="E14" s="5">
        <v>0</v>
      </c>
      <c r="F14" s="5">
        <v>400</v>
      </c>
      <c r="G14" s="5">
        <v>400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Q14" s="5">
        <f t="shared" ca="1" si="3"/>
        <v>500</v>
      </c>
    </row>
    <row r="15" spans="1:21" x14ac:dyDescent="0.25">
      <c r="A15" s="17">
        <f t="shared" ca="1" si="5"/>
        <v>45813</v>
      </c>
      <c r="B15" s="114" t="str">
        <f t="shared" ca="1" si="4"/>
        <v>Чт</v>
      </c>
      <c r="C15" s="117">
        <f t="shared" si="6"/>
        <v>5</v>
      </c>
      <c r="D15" s="111">
        <v>400</v>
      </c>
      <c r="E15" s="5">
        <v>400</v>
      </c>
      <c r="F15" s="5">
        <v>400</v>
      </c>
      <c r="G15" s="5">
        <v>400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Q15" s="5">
        <f t="shared" ca="1" si="3"/>
        <v>500</v>
      </c>
    </row>
    <row r="16" spans="1:21" x14ac:dyDescent="0.25">
      <c r="A16" s="17">
        <f t="shared" ca="1" si="5"/>
        <v>45814</v>
      </c>
      <c r="B16" s="114" t="str">
        <f t="shared" ca="1" si="4"/>
        <v>Пт</v>
      </c>
      <c r="C16" s="117">
        <f t="shared" si="6"/>
        <v>6</v>
      </c>
      <c r="D16" s="111">
        <v>0</v>
      </c>
      <c r="E16" s="5">
        <v>400</v>
      </c>
      <c r="F16" s="5">
        <v>400</v>
      </c>
      <c r="G16" s="5">
        <v>0</v>
      </c>
      <c r="H16" s="5">
        <v>400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Q16" s="5">
        <f t="shared" ca="1" si="3"/>
        <v>500</v>
      </c>
    </row>
    <row r="17" spans="1:17" x14ac:dyDescent="0.25">
      <c r="A17" s="17">
        <f t="shared" ca="1" si="5"/>
        <v>45815</v>
      </c>
      <c r="B17" s="114" t="str">
        <f t="shared" ca="1" si="4"/>
        <v>Сб</v>
      </c>
      <c r="C17" s="117">
        <f t="shared" si="6"/>
        <v>7</v>
      </c>
      <c r="D17" s="111">
        <v>0</v>
      </c>
      <c r="E17" s="5">
        <v>400</v>
      </c>
      <c r="F17" s="5">
        <v>400</v>
      </c>
      <c r="G17" s="5">
        <v>0</v>
      </c>
      <c r="H17" s="5">
        <v>400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Q17" s="5">
        <f t="shared" ca="1" si="3"/>
        <v>0</v>
      </c>
    </row>
    <row r="18" spans="1:17" x14ac:dyDescent="0.25">
      <c r="A18" s="17">
        <f t="shared" ca="1" si="5"/>
        <v>45816</v>
      </c>
      <c r="B18" s="114" t="str">
        <f t="shared" ca="1" si="4"/>
        <v>Вс</v>
      </c>
      <c r="C18" s="117">
        <f t="shared" si="6"/>
        <v>8</v>
      </c>
      <c r="D18" s="111">
        <v>400</v>
      </c>
      <c r="E18" s="5">
        <v>400</v>
      </c>
      <c r="F18" s="5">
        <v>400</v>
      </c>
      <c r="G18" s="5">
        <v>400</v>
      </c>
      <c r="H18" s="5">
        <v>400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Q18" s="5">
        <f t="shared" ca="1" si="3"/>
        <v>0</v>
      </c>
    </row>
    <row r="19" spans="1:17" x14ac:dyDescent="0.25">
      <c r="A19" s="17">
        <f t="shared" ca="1" si="5"/>
        <v>45817</v>
      </c>
      <c r="B19" s="114" t="str">
        <f t="shared" ca="1" si="4"/>
        <v>Пн</v>
      </c>
      <c r="C19" s="117">
        <f t="shared" si="6"/>
        <v>9</v>
      </c>
      <c r="D19" s="111">
        <v>400</v>
      </c>
      <c r="E19" s="5">
        <v>400</v>
      </c>
      <c r="F19" s="5">
        <v>0</v>
      </c>
      <c r="G19" s="5">
        <v>400</v>
      </c>
      <c r="H19" s="5">
        <v>400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Q19" s="5">
        <f t="shared" ca="1" si="3"/>
        <v>500</v>
      </c>
    </row>
    <row r="20" spans="1:17" x14ac:dyDescent="0.25">
      <c r="A20" s="17">
        <f t="shared" ca="1" si="5"/>
        <v>45818</v>
      </c>
      <c r="B20" s="114" t="str">
        <f t="shared" ca="1" si="4"/>
        <v>Вт</v>
      </c>
      <c r="C20" s="117">
        <f t="shared" si="6"/>
        <v>10</v>
      </c>
      <c r="D20" s="111">
        <v>400</v>
      </c>
      <c r="E20" s="5">
        <v>0</v>
      </c>
      <c r="F20" s="5">
        <v>0</v>
      </c>
      <c r="G20" s="5">
        <v>400</v>
      </c>
      <c r="H20" s="5">
        <v>400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Q20" s="5">
        <f t="shared" ca="1" si="3"/>
        <v>500</v>
      </c>
    </row>
    <row r="21" spans="1:17" x14ac:dyDescent="0.25">
      <c r="A21" s="17">
        <f t="shared" ca="1" si="5"/>
        <v>45819</v>
      </c>
      <c r="B21" s="114" t="str">
        <f t="shared" ca="1" si="4"/>
        <v>Ср</v>
      </c>
      <c r="C21" s="117">
        <f t="shared" si="6"/>
        <v>11</v>
      </c>
      <c r="D21" s="111">
        <v>400</v>
      </c>
      <c r="E21" s="5">
        <v>0</v>
      </c>
      <c r="F21" s="5">
        <v>400</v>
      </c>
      <c r="G21" s="5">
        <v>400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Q21" s="5">
        <f t="shared" ca="1" si="3"/>
        <v>500</v>
      </c>
    </row>
    <row r="22" spans="1:17" x14ac:dyDescent="0.25">
      <c r="A22" s="17">
        <f t="shared" ca="1" si="5"/>
        <v>45820</v>
      </c>
      <c r="B22" s="114" t="str">
        <f t="shared" ca="1" si="4"/>
        <v>Чт</v>
      </c>
      <c r="C22" s="117">
        <f t="shared" si="6"/>
        <v>12</v>
      </c>
      <c r="D22" s="111">
        <v>400</v>
      </c>
      <c r="E22" s="5">
        <v>400</v>
      </c>
      <c r="F22" s="5">
        <v>400</v>
      </c>
      <c r="G22" s="5">
        <v>400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Q22" s="5">
        <f t="shared" ca="1" si="3"/>
        <v>500</v>
      </c>
    </row>
    <row r="23" spans="1:17" x14ac:dyDescent="0.25">
      <c r="A23" s="17">
        <f t="shared" ca="1" si="5"/>
        <v>45821</v>
      </c>
      <c r="B23" s="114" t="str">
        <f t="shared" ca="1" si="4"/>
        <v>Пт</v>
      </c>
      <c r="C23" s="117">
        <f t="shared" si="6"/>
        <v>13</v>
      </c>
      <c r="D23" s="111">
        <v>0</v>
      </c>
      <c r="E23" s="5">
        <v>400</v>
      </c>
      <c r="F23" s="5">
        <v>400</v>
      </c>
      <c r="G23" s="5">
        <v>0</v>
      </c>
      <c r="H23" s="5">
        <v>400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Q23" s="5">
        <f t="shared" ca="1" si="3"/>
        <v>500</v>
      </c>
    </row>
    <row r="24" spans="1:17" x14ac:dyDescent="0.25">
      <c r="A24" s="17">
        <f t="shared" ca="1" si="5"/>
        <v>45822</v>
      </c>
      <c r="B24" s="114" t="str">
        <f t="shared" ca="1" si="4"/>
        <v>Сб</v>
      </c>
      <c r="C24" s="117">
        <f t="shared" si="6"/>
        <v>14</v>
      </c>
      <c r="D24" s="111">
        <v>0</v>
      </c>
      <c r="E24" s="5">
        <v>400</v>
      </c>
      <c r="F24" s="5">
        <v>400</v>
      </c>
      <c r="G24" s="5">
        <v>0</v>
      </c>
      <c r="H24" s="5">
        <v>400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Q24" s="5">
        <f t="shared" ca="1" si="3"/>
        <v>0</v>
      </c>
    </row>
    <row r="25" spans="1:17" x14ac:dyDescent="0.25">
      <c r="A25" s="17">
        <f t="shared" ca="1" si="5"/>
        <v>45823</v>
      </c>
      <c r="B25" s="114" t="str">
        <f t="shared" ca="1" si="4"/>
        <v>Вс</v>
      </c>
      <c r="C25" s="117">
        <f t="shared" si="6"/>
        <v>15</v>
      </c>
      <c r="D25" s="111">
        <v>400</v>
      </c>
      <c r="E25" s="5">
        <v>400</v>
      </c>
      <c r="F25" s="5">
        <v>400</v>
      </c>
      <c r="G25" s="5">
        <v>400</v>
      </c>
      <c r="H25" s="5">
        <v>400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Q25" s="5">
        <f t="shared" ca="1" si="3"/>
        <v>0</v>
      </c>
    </row>
    <row r="26" spans="1:17" x14ac:dyDescent="0.25">
      <c r="A26" s="17">
        <f t="shared" ca="1" si="5"/>
        <v>45824</v>
      </c>
      <c r="B26" s="114" t="str">
        <f t="shared" ca="1" si="4"/>
        <v>Пн</v>
      </c>
      <c r="C26" s="117">
        <f t="shared" si="6"/>
        <v>16</v>
      </c>
      <c r="D26" s="111">
        <v>400</v>
      </c>
      <c r="E26" s="5">
        <v>400</v>
      </c>
      <c r="F26" s="5">
        <v>0</v>
      </c>
      <c r="G26" s="5">
        <v>400</v>
      </c>
      <c r="H26" s="5">
        <v>400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Q26" s="5">
        <f t="shared" ca="1" si="3"/>
        <v>500</v>
      </c>
    </row>
    <row r="27" spans="1:17" x14ac:dyDescent="0.25">
      <c r="A27" s="17">
        <f t="shared" ca="1" si="5"/>
        <v>45825</v>
      </c>
      <c r="B27" s="114" t="str">
        <f t="shared" ca="1" si="4"/>
        <v>Вт</v>
      </c>
      <c r="C27" s="117">
        <f t="shared" si="6"/>
        <v>17</v>
      </c>
      <c r="D27" s="111">
        <v>400</v>
      </c>
      <c r="E27" s="5">
        <v>0</v>
      </c>
      <c r="F27" s="5">
        <v>0</v>
      </c>
      <c r="G27" s="5">
        <v>400</v>
      </c>
      <c r="H27" s="5">
        <v>400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Q27" s="5">
        <f t="shared" ca="1" si="3"/>
        <v>500</v>
      </c>
    </row>
    <row r="28" spans="1:17" x14ac:dyDescent="0.25">
      <c r="A28" s="17">
        <f t="shared" ca="1" si="5"/>
        <v>45826</v>
      </c>
      <c r="B28" s="114" t="str">
        <f t="shared" ca="1" si="4"/>
        <v>Ср</v>
      </c>
      <c r="C28" s="117">
        <f t="shared" si="6"/>
        <v>18</v>
      </c>
      <c r="D28" s="111">
        <v>400</v>
      </c>
      <c r="E28" s="5">
        <v>0</v>
      </c>
      <c r="F28" s="5">
        <v>400</v>
      </c>
      <c r="G28" s="5">
        <v>400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Q28" s="5">
        <f t="shared" ca="1" si="3"/>
        <v>500</v>
      </c>
    </row>
    <row r="29" spans="1:17" x14ac:dyDescent="0.25">
      <c r="A29" s="17">
        <f t="shared" ca="1" si="5"/>
        <v>45827</v>
      </c>
      <c r="B29" s="114" t="str">
        <f t="shared" ca="1" si="4"/>
        <v>Чт</v>
      </c>
      <c r="C29" s="117">
        <f t="shared" si="6"/>
        <v>19</v>
      </c>
      <c r="D29" s="111">
        <v>400</v>
      </c>
      <c r="E29" s="5">
        <v>400</v>
      </c>
      <c r="F29" s="5">
        <v>400</v>
      </c>
      <c r="G29" s="5">
        <v>400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Q29" s="5">
        <f t="shared" ca="1" si="3"/>
        <v>500</v>
      </c>
    </row>
    <row r="30" spans="1:17" x14ac:dyDescent="0.25">
      <c r="A30" s="17">
        <f t="shared" ca="1" si="5"/>
        <v>45828</v>
      </c>
      <c r="B30" s="114" t="str">
        <f t="shared" ca="1" si="4"/>
        <v>Пт</v>
      </c>
      <c r="C30" s="117">
        <f t="shared" si="6"/>
        <v>20</v>
      </c>
      <c r="D30" s="111">
        <v>0</v>
      </c>
      <c r="E30" s="5">
        <v>400</v>
      </c>
      <c r="F30" s="5">
        <v>400</v>
      </c>
      <c r="G30" s="5">
        <v>0</v>
      </c>
      <c r="H30" s="5">
        <v>400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Q30" s="5">
        <f t="shared" ca="1" si="3"/>
        <v>500</v>
      </c>
    </row>
    <row r="31" spans="1:17" x14ac:dyDescent="0.25">
      <c r="A31" s="17">
        <f t="shared" ca="1" si="5"/>
        <v>45829</v>
      </c>
      <c r="B31" s="114" t="str">
        <f t="shared" ca="1" si="4"/>
        <v>Сб</v>
      </c>
      <c r="C31" s="117">
        <f t="shared" si="6"/>
        <v>21</v>
      </c>
      <c r="D31" s="111">
        <v>0</v>
      </c>
      <c r="E31" s="5">
        <v>400</v>
      </c>
      <c r="F31" s="5">
        <v>400</v>
      </c>
      <c r="G31" s="5">
        <v>0</v>
      </c>
      <c r="H31" s="5">
        <v>400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Q31" s="5">
        <f t="shared" ca="1" si="3"/>
        <v>0</v>
      </c>
    </row>
    <row r="32" spans="1:17" x14ac:dyDescent="0.25">
      <c r="A32" s="17">
        <f t="shared" ca="1" si="5"/>
        <v>45830</v>
      </c>
      <c r="B32" s="114" t="str">
        <f t="shared" ca="1" si="4"/>
        <v>Вс</v>
      </c>
      <c r="C32" s="117">
        <f t="shared" si="6"/>
        <v>22</v>
      </c>
      <c r="D32" s="111">
        <v>400</v>
      </c>
      <c r="E32" s="5">
        <v>400</v>
      </c>
      <c r="F32" s="5">
        <v>400</v>
      </c>
      <c r="G32" s="5">
        <v>400</v>
      </c>
      <c r="H32" s="5">
        <v>400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Q32" s="5">
        <f t="shared" ca="1" si="3"/>
        <v>0</v>
      </c>
    </row>
    <row r="33" spans="1:17" x14ac:dyDescent="0.25">
      <c r="A33" s="17">
        <f t="shared" ca="1" si="5"/>
        <v>45831</v>
      </c>
      <c r="B33" s="114" t="str">
        <f t="shared" ca="1" si="4"/>
        <v>Пн</v>
      </c>
      <c r="C33" s="117">
        <f t="shared" si="6"/>
        <v>23</v>
      </c>
      <c r="D33" s="111">
        <v>400</v>
      </c>
      <c r="E33" s="5">
        <v>400</v>
      </c>
      <c r="F33" s="5">
        <v>0</v>
      </c>
      <c r="G33" s="5">
        <v>400</v>
      </c>
      <c r="H33" s="5">
        <v>400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Q33" s="5">
        <f t="shared" ca="1" si="3"/>
        <v>500</v>
      </c>
    </row>
    <row r="34" spans="1:17" x14ac:dyDescent="0.25">
      <c r="A34" s="17">
        <f t="shared" ca="1" si="5"/>
        <v>45832</v>
      </c>
      <c r="B34" s="114" t="str">
        <f t="shared" ca="1" si="4"/>
        <v>Вт</v>
      </c>
      <c r="C34" s="117">
        <f t="shared" si="6"/>
        <v>24</v>
      </c>
      <c r="D34" s="111">
        <v>400</v>
      </c>
      <c r="E34" s="5">
        <v>0</v>
      </c>
      <c r="F34" s="5">
        <v>0</v>
      </c>
      <c r="G34" s="5">
        <v>400</v>
      </c>
      <c r="H34" s="5">
        <v>400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Q34" s="5">
        <f t="shared" ca="1" si="3"/>
        <v>500</v>
      </c>
    </row>
    <row r="35" spans="1:17" x14ac:dyDescent="0.25">
      <c r="A35" s="17">
        <f t="shared" ca="1" si="5"/>
        <v>45833</v>
      </c>
      <c r="B35" s="114" t="str">
        <f t="shared" ca="1" si="4"/>
        <v>Ср</v>
      </c>
      <c r="C35" s="117">
        <f>C34+1</f>
        <v>25</v>
      </c>
      <c r="D35" s="111">
        <v>400</v>
      </c>
      <c r="E35" s="5">
        <v>0</v>
      </c>
      <c r="F35" s="5">
        <v>400</v>
      </c>
      <c r="G35" s="5">
        <v>400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Q35" s="5">
        <f t="shared" ca="1" si="3"/>
        <v>500</v>
      </c>
    </row>
    <row r="36" spans="1:17" x14ac:dyDescent="0.25">
      <c r="A36" s="17">
        <f t="shared" ca="1" si="5"/>
        <v>45834</v>
      </c>
      <c r="B36" s="114" t="str">
        <f t="shared" ca="1" si="4"/>
        <v>Чт</v>
      </c>
      <c r="C36" s="117">
        <f t="shared" si="6"/>
        <v>26</v>
      </c>
      <c r="D36" s="111">
        <v>400</v>
      </c>
      <c r="E36" s="5">
        <v>400</v>
      </c>
      <c r="F36" s="5">
        <v>400</v>
      </c>
      <c r="G36" s="5">
        <v>400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Q36" s="5">
        <f t="shared" ca="1" si="3"/>
        <v>500</v>
      </c>
    </row>
    <row r="37" spans="1:17" x14ac:dyDescent="0.25">
      <c r="A37" s="17">
        <f t="shared" ca="1" si="5"/>
        <v>45835</v>
      </c>
      <c r="B37" s="114" t="str">
        <f t="shared" ca="1" si="4"/>
        <v>Пт</v>
      </c>
      <c r="C37" s="117">
        <f t="shared" si="6"/>
        <v>27</v>
      </c>
      <c r="D37" s="111">
        <v>0</v>
      </c>
      <c r="E37" s="5">
        <v>400</v>
      </c>
      <c r="F37" s="5">
        <v>400</v>
      </c>
      <c r="G37" s="5">
        <v>0</v>
      </c>
      <c r="H37" s="5">
        <v>400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Q37" s="5">
        <f t="shared" ca="1" si="3"/>
        <v>500</v>
      </c>
    </row>
    <row r="38" spans="1:17" x14ac:dyDescent="0.25">
      <c r="A38" s="17">
        <f t="shared" ca="1" si="5"/>
        <v>45836</v>
      </c>
      <c r="B38" s="114" t="str">
        <f t="shared" ca="1" si="4"/>
        <v>Сб</v>
      </c>
      <c r="C38" s="117">
        <f t="shared" si="6"/>
        <v>28</v>
      </c>
      <c r="D38" s="111">
        <v>0</v>
      </c>
      <c r="E38" s="5">
        <v>400</v>
      </c>
      <c r="F38" s="5">
        <v>400</v>
      </c>
      <c r="G38" s="5">
        <v>0</v>
      </c>
      <c r="H38" s="5">
        <v>400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Q38" s="5">
        <f t="shared" ca="1" si="3"/>
        <v>0</v>
      </c>
    </row>
    <row r="39" spans="1:17" x14ac:dyDescent="0.25">
      <c r="A39" s="17">
        <f t="shared" ref="A39:A40" ca="1" si="7">IF(A38="","",IF(MONTH(A38+1)=MONTH(A38),A38+1,""))</f>
        <v>45837</v>
      </c>
      <c r="B39" s="114" t="str">
        <f t="shared" ca="1" si="4"/>
        <v>Вс</v>
      </c>
      <c r="C39" s="117">
        <f>C38+1</f>
        <v>29</v>
      </c>
      <c r="D39" s="111">
        <v>400</v>
      </c>
      <c r="E39" s="5">
        <v>400</v>
      </c>
      <c r="F39" s="5">
        <v>400</v>
      </c>
      <c r="G39" s="5">
        <v>400</v>
      </c>
      <c r="H39" s="5">
        <v>400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Q39" s="5">
        <f ca="1">IF(OR($B39="Сб",$B39="Вс",$B39=""),0,$Q$6)</f>
        <v>0</v>
      </c>
    </row>
    <row r="40" spans="1:17" x14ac:dyDescent="0.25">
      <c r="A40" s="17">
        <f t="shared" ca="1" si="7"/>
        <v>45838</v>
      </c>
      <c r="B40" s="114" t="str">
        <f t="shared" ca="1" si="4"/>
        <v>Пн</v>
      </c>
      <c r="C40" s="117">
        <f t="shared" si="6"/>
        <v>30</v>
      </c>
      <c r="D40" s="111">
        <v>400</v>
      </c>
      <c r="E40" s="5">
        <v>0</v>
      </c>
      <c r="F40" s="5">
        <v>0</v>
      </c>
      <c r="G40" s="5">
        <v>400</v>
      </c>
      <c r="H40" s="5">
        <v>400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Q40" s="5">
        <f t="shared" ref="Q40:Q41" ca="1" si="8">IF(OR($B40="Сб",$B40="Вс",$B40=""),0,$Q$6)</f>
        <v>500</v>
      </c>
    </row>
    <row r="41" spans="1:17" ht="15.75" thickBot="1" x14ac:dyDescent="0.3">
      <c r="A41" s="17" t="str">
        <f ca="1">IF(A40="","",IF(MONTH(A40+1)=MONTH(A40),A40+1,""))</f>
        <v/>
      </c>
      <c r="B41" s="114" t="str">
        <f t="shared" ca="1" si="4"/>
        <v/>
      </c>
      <c r="C41" s="118">
        <f t="shared" si="6"/>
        <v>31</v>
      </c>
      <c r="D41" s="111">
        <v>400</v>
      </c>
      <c r="E41" s="5">
        <v>0</v>
      </c>
      <c r="F41" s="5">
        <v>0</v>
      </c>
      <c r="G41" s="5">
        <v>0</v>
      </c>
      <c r="H41" s="5">
        <v>400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Q41" s="5">
        <f t="shared" ca="1" si="8"/>
        <v>0</v>
      </c>
    </row>
  </sheetData>
  <autoFilter ref="A10:O10" xr:uid="{00000000-0009-0000-0000-000002000000}"/>
  <mergeCells count="6">
    <mergeCell ref="Q7:Q9"/>
    <mergeCell ref="A2:O2"/>
    <mergeCell ref="A7:A8"/>
    <mergeCell ref="B7:B8"/>
    <mergeCell ref="C7:C8"/>
    <mergeCell ref="D7:O7"/>
  </mergeCells>
  <conditionalFormatting sqref="B11:B41">
    <cfRule type="containsText" dxfId="1" priority="1" operator="containsText" text="Вс">
      <formula>NOT(ISERROR(SEARCH("Вс",B11)))</formula>
    </cfRule>
    <cfRule type="containsText" dxfId="0" priority="2" operator="containsText" text="Сб">
      <formula>NOT(ISERROR(SEARCH("Сб",B11)))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4"/>
  <sheetViews>
    <sheetView topLeftCell="A43" workbookViewId="0">
      <selection activeCell="M36" sqref="M36"/>
    </sheetView>
  </sheetViews>
  <sheetFormatPr defaultRowHeight="15" x14ac:dyDescent="0.25"/>
  <cols>
    <col min="1" max="1" width="36.28515625" customWidth="1"/>
    <col min="2" max="2" width="9.28515625" customWidth="1"/>
    <col min="3" max="3" width="4.42578125" customWidth="1"/>
    <col min="4" max="4" width="6.5703125" customWidth="1"/>
    <col min="5" max="5" width="5.7109375" customWidth="1"/>
    <col min="6" max="7" width="4.7109375" customWidth="1"/>
    <col min="8" max="8" width="4.5703125" customWidth="1"/>
    <col min="9" max="9" width="8" customWidth="1"/>
    <col min="10" max="11" width="4.5703125" customWidth="1"/>
    <col min="12" max="12" width="5.5703125" customWidth="1"/>
    <col min="13" max="14" width="4.5703125" customWidth="1"/>
    <col min="15" max="15" width="5.28515625" customWidth="1"/>
    <col min="16" max="16" width="4.7109375" customWidth="1"/>
    <col min="17" max="17" width="7.5703125" customWidth="1"/>
    <col min="18" max="18" width="9.28515625" customWidth="1"/>
    <col min="19" max="19" width="8.7109375" customWidth="1"/>
    <col min="20" max="20" width="11" customWidth="1"/>
    <col min="22" max="22" width="10.42578125" bestFit="1" customWidth="1"/>
  </cols>
  <sheetData>
    <row r="1" spans="1:20" ht="21.6" customHeight="1" x14ac:dyDescent="0.25">
      <c r="A1" s="161" t="s">
        <v>25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0" ht="37.9" customHeight="1" x14ac:dyDescent="0.25">
      <c r="A2" s="162" t="s">
        <v>26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s="27" customFormat="1" ht="18.75" x14ac:dyDescent="0.3">
      <c r="A4" s="26"/>
      <c r="B4" s="163" t="s">
        <v>27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</row>
    <row r="5" spans="1:20" s="30" customFormat="1" ht="18.75" x14ac:dyDescent="0.3">
      <c r="A5" s="28"/>
      <c r="B5" s="152" t="s">
        <v>28</v>
      </c>
      <c r="C5" s="150"/>
      <c r="D5" s="150"/>
      <c r="E5" s="150"/>
      <c r="F5" s="150"/>
      <c r="G5" s="150"/>
      <c r="H5" s="151"/>
      <c r="I5" s="155" t="s">
        <v>29</v>
      </c>
      <c r="J5" s="153"/>
      <c r="K5" s="153"/>
      <c r="L5" s="153"/>
      <c r="M5" s="153"/>
      <c r="N5" s="29"/>
      <c r="O5" s="155" t="s">
        <v>30</v>
      </c>
      <c r="P5" s="153"/>
      <c r="Q5" s="153"/>
      <c r="R5" s="153"/>
      <c r="S5" s="153"/>
      <c r="T5" s="29"/>
    </row>
    <row r="6" spans="1:20" s="30" customFormat="1" ht="18.75" x14ac:dyDescent="0.3">
      <c r="A6" s="31" t="s">
        <v>31</v>
      </c>
      <c r="B6" s="32"/>
      <c r="C6" s="33">
        <v>1</v>
      </c>
      <c r="D6" s="33">
        <v>8</v>
      </c>
      <c r="E6" s="34">
        <v>15</v>
      </c>
      <c r="F6" s="34">
        <v>22</v>
      </c>
      <c r="G6" s="34">
        <v>29</v>
      </c>
      <c r="I6" s="35"/>
      <c r="J6" s="34">
        <v>5</v>
      </c>
      <c r="K6" s="34">
        <v>12</v>
      </c>
      <c r="L6" s="34">
        <v>19</v>
      </c>
      <c r="M6" s="34">
        <v>26</v>
      </c>
      <c r="N6" s="36"/>
      <c r="O6" s="37"/>
      <c r="P6" s="38"/>
      <c r="Q6" s="39">
        <v>4</v>
      </c>
      <c r="R6" s="39">
        <v>11</v>
      </c>
      <c r="S6" s="39">
        <v>18</v>
      </c>
      <c r="T6" s="40">
        <v>25</v>
      </c>
    </row>
    <row r="7" spans="1:20" s="30" customFormat="1" ht="18.75" x14ac:dyDescent="0.3">
      <c r="A7" s="31" t="s">
        <v>32</v>
      </c>
      <c r="B7" s="32"/>
      <c r="C7" s="33">
        <v>2</v>
      </c>
      <c r="D7" s="34">
        <v>9</v>
      </c>
      <c r="E7" s="34">
        <v>16</v>
      </c>
      <c r="F7" s="34">
        <v>23</v>
      </c>
      <c r="G7" s="34">
        <v>30</v>
      </c>
      <c r="I7" s="35"/>
      <c r="J7" s="34">
        <v>6</v>
      </c>
      <c r="K7" s="34">
        <v>13</v>
      </c>
      <c r="L7" s="34">
        <v>20</v>
      </c>
      <c r="M7" s="34">
        <v>27</v>
      </c>
      <c r="N7" s="36"/>
      <c r="O7" s="41"/>
      <c r="P7" s="42"/>
      <c r="Q7" s="43">
        <v>5</v>
      </c>
      <c r="R7" s="34">
        <v>12</v>
      </c>
      <c r="S7" s="34">
        <v>19</v>
      </c>
      <c r="T7" s="36">
        <v>26</v>
      </c>
    </row>
    <row r="8" spans="1:20" s="30" customFormat="1" ht="18.75" x14ac:dyDescent="0.3">
      <c r="A8" s="31" t="s">
        <v>33</v>
      </c>
      <c r="B8" s="32"/>
      <c r="C8" s="33">
        <v>3</v>
      </c>
      <c r="D8" s="34">
        <v>10</v>
      </c>
      <c r="E8" s="34">
        <v>17</v>
      </c>
      <c r="F8" s="34">
        <v>24</v>
      </c>
      <c r="G8" s="34">
        <v>31</v>
      </c>
      <c r="I8" s="35"/>
      <c r="J8" s="34">
        <v>7</v>
      </c>
      <c r="K8" s="34">
        <v>14</v>
      </c>
      <c r="L8" s="34">
        <v>21</v>
      </c>
      <c r="M8" s="34">
        <v>28</v>
      </c>
      <c r="N8" s="36"/>
      <c r="O8" s="41"/>
      <c r="P8" s="34"/>
      <c r="Q8" s="43">
        <v>6</v>
      </c>
      <c r="R8" s="34">
        <v>13</v>
      </c>
      <c r="S8" s="34">
        <v>20</v>
      </c>
      <c r="T8" s="36">
        <v>27</v>
      </c>
    </row>
    <row r="9" spans="1:20" s="30" customFormat="1" ht="18.75" x14ac:dyDescent="0.3">
      <c r="A9" s="31" t="s">
        <v>34</v>
      </c>
      <c r="B9" s="32"/>
      <c r="C9" s="33">
        <v>4</v>
      </c>
      <c r="D9" s="34">
        <v>11</v>
      </c>
      <c r="E9" s="34">
        <v>18</v>
      </c>
      <c r="F9" s="34">
        <v>25</v>
      </c>
      <c r="G9" s="34"/>
      <c r="I9" s="35">
        <v>1</v>
      </c>
      <c r="J9" s="34">
        <v>8</v>
      </c>
      <c r="K9" s="34">
        <v>15</v>
      </c>
      <c r="L9" s="44" t="s">
        <v>35</v>
      </c>
      <c r="M9" s="34">
        <v>29</v>
      </c>
      <c r="N9" s="36"/>
      <c r="O9" s="41"/>
      <c r="P9" s="34"/>
      <c r="Q9" s="44" t="s">
        <v>36</v>
      </c>
      <c r="R9" s="34">
        <v>14</v>
      </c>
      <c r="S9" s="34">
        <v>21</v>
      </c>
      <c r="T9" s="36">
        <v>28</v>
      </c>
    </row>
    <row r="10" spans="1:20" s="30" customFormat="1" ht="18.75" x14ac:dyDescent="0.3">
      <c r="A10" s="31" t="s">
        <v>37</v>
      </c>
      <c r="B10" s="32"/>
      <c r="C10" s="33">
        <v>5</v>
      </c>
      <c r="D10" s="34">
        <v>12</v>
      </c>
      <c r="E10" s="34">
        <v>19</v>
      </c>
      <c r="F10" s="34">
        <v>26</v>
      </c>
      <c r="G10" s="34"/>
      <c r="I10" s="35">
        <v>2</v>
      </c>
      <c r="J10" s="34">
        <v>9</v>
      </c>
      <c r="K10" s="34">
        <v>16</v>
      </c>
      <c r="L10" s="33">
        <v>23</v>
      </c>
      <c r="M10" s="34"/>
      <c r="N10" s="36"/>
      <c r="O10" s="41"/>
      <c r="P10" s="34">
        <v>1</v>
      </c>
      <c r="Q10" s="33">
        <v>8</v>
      </c>
      <c r="R10" s="34">
        <v>15</v>
      </c>
      <c r="S10" s="34">
        <v>22</v>
      </c>
      <c r="T10" s="36">
        <v>29</v>
      </c>
    </row>
    <row r="11" spans="1:20" s="30" customFormat="1" ht="18.75" x14ac:dyDescent="0.3">
      <c r="A11" s="31" t="s">
        <v>38</v>
      </c>
      <c r="B11" s="45"/>
      <c r="C11" s="33">
        <v>6</v>
      </c>
      <c r="D11" s="33">
        <v>13</v>
      </c>
      <c r="E11" s="33">
        <v>20</v>
      </c>
      <c r="F11" s="33">
        <v>27</v>
      </c>
      <c r="G11" s="33"/>
      <c r="I11" s="46">
        <v>3</v>
      </c>
      <c r="J11" s="33">
        <v>10</v>
      </c>
      <c r="K11" s="33">
        <v>17</v>
      </c>
      <c r="L11" s="33">
        <v>24</v>
      </c>
      <c r="M11" s="33"/>
      <c r="N11" s="47"/>
      <c r="O11" s="48"/>
      <c r="P11" s="33">
        <v>2</v>
      </c>
      <c r="Q11" s="33">
        <v>9</v>
      </c>
      <c r="R11" s="33">
        <v>16</v>
      </c>
      <c r="S11" s="33">
        <v>23</v>
      </c>
      <c r="T11" s="47">
        <v>30</v>
      </c>
    </row>
    <row r="12" spans="1:20" s="30" customFormat="1" ht="18.75" x14ac:dyDescent="0.3">
      <c r="A12" s="31" t="s">
        <v>39</v>
      </c>
      <c r="B12" s="49"/>
      <c r="C12" s="50">
        <v>7</v>
      </c>
      <c r="D12" s="50">
        <v>14</v>
      </c>
      <c r="E12" s="50">
        <v>21</v>
      </c>
      <c r="F12" s="50">
        <v>28</v>
      </c>
      <c r="G12" s="50"/>
      <c r="I12" s="51">
        <v>4</v>
      </c>
      <c r="J12" s="50">
        <v>11</v>
      </c>
      <c r="K12" s="50">
        <v>18</v>
      </c>
      <c r="L12" s="50">
        <v>25</v>
      </c>
      <c r="M12" s="50"/>
      <c r="N12" s="52"/>
      <c r="O12" s="53"/>
      <c r="P12" s="50">
        <v>3</v>
      </c>
      <c r="Q12" s="50">
        <v>10</v>
      </c>
      <c r="R12" s="50">
        <v>17</v>
      </c>
      <c r="S12" s="50">
        <v>24</v>
      </c>
      <c r="T12" s="52">
        <v>31</v>
      </c>
    </row>
    <row r="13" spans="1:20" s="30" customFormat="1" ht="18.75" x14ac:dyDescent="0.3">
      <c r="A13" s="28"/>
      <c r="B13" s="54"/>
      <c r="C13" s="150" t="s">
        <v>40</v>
      </c>
      <c r="D13" s="150"/>
      <c r="E13" s="150"/>
      <c r="F13" s="151"/>
      <c r="G13" s="152" t="s">
        <v>41</v>
      </c>
      <c r="H13" s="150"/>
      <c r="I13" s="153"/>
      <c r="J13" s="154"/>
      <c r="K13" s="155" t="s">
        <v>42</v>
      </c>
      <c r="L13" s="153"/>
      <c r="M13" s="153"/>
      <c r="N13" s="153"/>
      <c r="O13" s="154"/>
      <c r="P13" s="152" t="s">
        <v>43</v>
      </c>
      <c r="Q13" s="150"/>
      <c r="R13" s="150"/>
      <c r="S13" s="150"/>
      <c r="T13" s="151"/>
    </row>
    <row r="14" spans="1:20" s="30" customFormat="1" ht="18.75" x14ac:dyDescent="0.3">
      <c r="A14" s="31" t="s">
        <v>44</v>
      </c>
      <c r="B14" s="54"/>
      <c r="C14" s="142">
        <v>31</v>
      </c>
      <c r="D14" s="142"/>
      <c r="E14" s="142"/>
      <c r="F14" s="143"/>
      <c r="G14" s="144">
        <v>29</v>
      </c>
      <c r="H14" s="142"/>
      <c r="I14" s="142"/>
      <c r="J14" s="143"/>
      <c r="K14" s="144">
        <v>31</v>
      </c>
      <c r="L14" s="142"/>
      <c r="M14" s="142"/>
      <c r="N14" s="142"/>
      <c r="O14" s="143"/>
      <c r="P14" s="144">
        <v>91</v>
      </c>
      <c r="Q14" s="142"/>
      <c r="R14" s="142"/>
      <c r="S14" s="142"/>
      <c r="T14" s="143"/>
    </row>
    <row r="15" spans="1:20" s="30" customFormat="1" ht="18.75" x14ac:dyDescent="0.3">
      <c r="A15" s="31" t="s">
        <v>45</v>
      </c>
      <c r="B15" s="54"/>
      <c r="C15" s="142">
        <v>17</v>
      </c>
      <c r="D15" s="142"/>
      <c r="E15" s="142"/>
      <c r="F15" s="143"/>
      <c r="G15" s="144">
        <v>20</v>
      </c>
      <c r="H15" s="142"/>
      <c r="I15" s="142"/>
      <c r="J15" s="143"/>
      <c r="K15" s="144">
        <v>20</v>
      </c>
      <c r="L15" s="142"/>
      <c r="M15" s="142"/>
      <c r="N15" s="142"/>
      <c r="O15" s="143"/>
      <c r="P15" s="144">
        <v>57</v>
      </c>
      <c r="Q15" s="142"/>
      <c r="R15" s="142"/>
      <c r="S15" s="142"/>
      <c r="T15" s="143"/>
    </row>
    <row r="16" spans="1:20" s="30" customFormat="1" ht="18.75" x14ac:dyDescent="0.3">
      <c r="A16" s="31" t="s">
        <v>46</v>
      </c>
      <c r="C16" s="145">
        <v>14</v>
      </c>
      <c r="D16" s="145"/>
      <c r="E16" s="145"/>
      <c r="F16" s="146"/>
      <c r="G16" s="147">
        <v>9</v>
      </c>
      <c r="H16" s="148"/>
      <c r="I16" s="148"/>
      <c r="J16" s="149"/>
      <c r="K16" s="147">
        <v>11</v>
      </c>
      <c r="L16" s="148"/>
      <c r="M16" s="148"/>
      <c r="N16" s="148"/>
      <c r="O16" s="149"/>
      <c r="P16" s="144">
        <v>34</v>
      </c>
      <c r="Q16" s="142"/>
      <c r="R16" s="142"/>
      <c r="S16" s="142"/>
      <c r="T16" s="143"/>
    </row>
    <row r="17" spans="1:20" s="30" customFormat="1" ht="18.75" x14ac:dyDescent="0.3">
      <c r="A17" s="31"/>
      <c r="B17" s="152" t="s">
        <v>47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1"/>
    </row>
    <row r="18" spans="1:20" s="30" customFormat="1" ht="18.75" x14ac:dyDescent="0.3">
      <c r="A18" s="28"/>
      <c r="B18" s="55"/>
      <c r="C18" s="150" t="s">
        <v>48</v>
      </c>
      <c r="D18" s="150"/>
      <c r="E18" s="150"/>
      <c r="F18" s="150"/>
      <c r="G18" s="150"/>
      <c r="H18" s="151"/>
      <c r="I18" s="160" t="s">
        <v>49</v>
      </c>
      <c r="J18" s="153"/>
      <c r="K18" s="153"/>
      <c r="L18" s="153"/>
      <c r="M18" s="153"/>
      <c r="N18" s="56"/>
      <c r="O18" s="155" t="s">
        <v>50</v>
      </c>
      <c r="P18" s="153"/>
      <c r="Q18" s="153"/>
      <c r="R18" s="153"/>
      <c r="S18" s="153"/>
      <c r="T18" s="29"/>
    </row>
    <row r="19" spans="1:20" s="30" customFormat="1" ht="18.75" x14ac:dyDescent="0.3">
      <c r="A19" s="31" t="s">
        <v>31</v>
      </c>
      <c r="B19" s="34">
        <v>1</v>
      </c>
      <c r="C19" s="43">
        <v>8</v>
      </c>
      <c r="D19" s="34">
        <v>15</v>
      </c>
      <c r="E19" s="34">
        <v>22</v>
      </c>
      <c r="F19" s="33">
        <v>29</v>
      </c>
      <c r="H19" s="34"/>
      <c r="I19" s="57"/>
      <c r="J19" s="43">
        <v>6</v>
      </c>
      <c r="K19" s="34">
        <v>13</v>
      </c>
      <c r="L19" s="34">
        <v>20</v>
      </c>
      <c r="M19" s="34">
        <v>27</v>
      </c>
      <c r="N19" s="36"/>
      <c r="O19" s="58"/>
      <c r="P19" s="59">
        <v>3</v>
      </c>
      <c r="Q19" s="59">
        <v>10</v>
      </c>
      <c r="R19" s="60">
        <v>17</v>
      </c>
      <c r="S19" s="60">
        <v>24</v>
      </c>
      <c r="T19" s="61"/>
    </row>
    <row r="20" spans="1:20" s="30" customFormat="1" ht="18.75" x14ac:dyDescent="0.3">
      <c r="A20" s="31" t="s">
        <v>32</v>
      </c>
      <c r="B20" s="34">
        <v>2</v>
      </c>
      <c r="C20" s="44" t="s">
        <v>51</v>
      </c>
      <c r="D20" s="34">
        <v>16</v>
      </c>
      <c r="E20" s="34">
        <v>23</v>
      </c>
      <c r="F20" s="33">
        <v>30</v>
      </c>
      <c r="H20" s="34"/>
      <c r="I20" s="35"/>
      <c r="J20" s="43">
        <v>7</v>
      </c>
      <c r="K20" s="34">
        <v>14</v>
      </c>
      <c r="L20" s="62">
        <v>21</v>
      </c>
      <c r="M20" s="34">
        <v>28</v>
      </c>
      <c r="N20" s="36"/>
      <c r="O20" s="63"/>
      <c r="P20" s="43">
        <v>4</v>
      </c>
      <c r="Q20" s="44" t="s">
        <v>52</v>
      </c>
      <c r="R20" s="64">
        <v>18</v>
      </c>
      <c r="S20" s="64">
        <v>25</v>
      </c>
      <c r="T20" s="65"/>
    </row>
    <row r="21" spans="1:20" s="30" customFormat="1" ht="18.75" x14ac:dyDescent="0.3">
      <c r="A21" s="31" t="s">
        <v>33</v>
      </c>
      <c r="B21" s="34">
        <v>3</v>
      </c>
      <c r="C21" s="33">
        <v>10</v>
      </c>
      <c r="D21" s="34">
        <v>17</v>
      </c>
      <c r="E21" s="34">
        <v>24</v>
      </c>
      <c r="F21" s="34"/>
      <c r="H21" s="34"/>
      <c r="I21" s="46">
        <v>1</v>
      </c>
      <c r="J21" s="44" t="s">
        <v>53</v>
      </c>
      <c r="K21" s="34">
        <v>15</v>
      </c>
      <c r="L21" s="43">
        <v>22</v>
      </c>
      <c r="M21" s="34">
        <v>29</v>
      </c>
      <c r="N21" s="36"/>
      <c r="O21" s="63"/>
      <c r="P21" s="43">
        <v>5</v>
      </c>
      <c r="Q21" s="33">
        <v>12</v>
      </c>
      <c r="R21" s="64">
        <v>19</v>
      </c>
      <c r="S21" s="64">
        <v>26</v>
      </c>
      <c r="T21" s="65"/>
    </row>
    <row r="22" spans="1:20" s="30" customFormat="1" ht="18.75" x14ac:dyDescent="0.3">
      <c r="A22" s="31" t="s">
        <v>34</v>
      </c>
      <c r="B22" s="34">
        <v>4</v>
      </c>
      <c r="C22" s="43">
        <v>11</v>
      </c>
      <c r="D22" s="34">
        <v>18</v>
      </c>
      <c r="E22" s="43">
        <v>25</v>
      </c>
      <c r="F22" s="34"/>
      <c r="H22" s="36"/>
      <c r="I22" s="34">
        <v>2</v>
      </c>
      <c r="J22" s="33">
        <v>9</v>
      </c>
      <c r="K22" s="34">
        <v>16</v>
      </c>
      <c r="L22" s="34">
        <v>23</v>
      </c>
      <c r="M22" s="34">
        <v>30</v>
      </c>
      <c r="N22" s="36"/>
      <c r="O22" s="63"/>
      <c r="P22" s="43">
        <v>6</v>
      </c>
      <c r="Q22" s="43">
        <v>13</v>
      </c>
      <c r="R22" s="64">
        <v>20</v>
      </c>
      <c r="S22" s="64">
        <v>27</v>
      </c>
      <c r="T22" s="65"/>
    </row>
    <row r="23" spans="1:20" s="30" customFormat="1" ht="18.75" x14ac:dyDescent="0.3">
      <c r="A23" s="31" t="s">
        <v>37</v>
      </c>
      <c r="B23" s="34">
        <v>5</v>
      </c>
      <c r="C23" s="43">
        <v>12</v>
      </c>
      <c r="D23" s="34">
        <v>19</v>
      </c>
      <c r="E23" s="43">
        <v>26</v>
      </c>
      <c r="F23" s="34"/>
      <c r="H23" s="34"/>
      <c r="I23" s="35">
        <v>3</v>
      </c>
      <c r="J23" s="33">
        <v>10</v>
      </c>
      <c r="K23" s="34">
        <v>17</v>
      </c>
      <c r="L23" s="34">
        <v>24</v>
      </c>
      <c r="M23" s="34">
        <v>31</v>
      </c>
      <c r="N23" s="36"/>
      <c r="O23" s="63"/>
      <c r="P23" s="43">
        <v>7</v>
      </c>
      <c r="Q23" s="43">
        <v>14</v>
      </c>
      <c r="R23" s="64">
        <v>21</v>
      </c>
      <c r="S23" s="64">
        <v>28</v>
      </c>
      <c r="T23" s="66"/>
    </row>
    <row r="24" spans="1:20" s="30" customFormat="1" ht="18.75" x14ac:dyDescent="0.3">
      <c r="A24" s="31" t="s">
        <v>38</v>
      </c>
      <c r="B24" s="33">
        <v>6</v>
      </c>
      <c r="C24" s="33">
        <v>13</v>
      </c>
      <c r="D24" s="33">
        <v>20</v>
      </c>
      <c r="E24" s="43">
        <v>27</v>
      </c>
      <c r="F24" s="33"/>
      <c r="H24" s="33"/>
      <c r="I24" s="46">
        <v>4</v>
      </c>
      <c r="J24" s="33">
        <v>11</v>
      </c>
      <c r="K24" s="33">
        <v>18</v>
      </c>
      <c r="L24" s="33">
        <v>25</v>
      </c>
      <c r="M24" s="33"/>
      <c r="N24" s="47"/>
      <c r="O24" s="67">
        <v>1</v>
      </c>
      <c r="P24" s="33">
        <v>8</v>
      </c>
      <c r="Q24" s="33">
        <v>15</v>
      </c>
      <c r="R24" s="42">
        <v>22</v>
      </c>
      <c r="S24" s="42">
        <v>29</v>
      </c>
      <c r="T24" s="47"/>
    </row>
    <row r="25" spans="1:20" s="30" customFormat="1" ht="18.75" x14ac:dyDescent="0.3">
      <c r="A25" s="31" t="s">
        <v>39</v>
      </c>
      <c r="B25" s="50">
        <v>7</v>
      </c>
      <c r="C25" s="50">
        <v>14</v>
      </c>
      <c r="D25" s="50">
        <v>21</v>
      </c>
      <c r="E25" s="50">
        <v>28</v>
      </c>
      <c r="F25" s="50"/>
      <c r="H25" s="50"/>
      <c r="I25" s="51">
        <v>5</v>
      </c>
      <c r="J25" s="50">
        <v>12</v>
      </c>
      <c r="K25" s="50">
        <v>19</v>
      </c>
      <c r="L25" s="50">
        <v>26</v>
      </c>
      <c r="M25" s="50"/>
      <c r="N25" s="52"/>
      <c r="O25" s="51">
        <v>2</v>
      </c>
      <c r="P25" s="50">
        <v>9</v>
      </c>
      <c r="Q25" s="50">
        <v>16</v>
      </c>
      <c r="R25" s="68">
        <v>23</v>
      </c>
      <c r="S25" s="68">
        <v>30</v>
      </c>
      <c r="T25" s="52"/>
    </row>
    <row r="26" spans="1:20" s="30" customFormat="1" ht="18.75" x14ac:dyDescent="0.3">
      <c r="A26" s="28"/>
      <c r="B26" s="55"/>
      <c r="C26" s="150" t="s">
        <v>48</v>
      </c>
      <c r="D26" s="150"/>
      <c r="E26" s="150"/>
      <c r="F26" s="151"/>
      <c r="G26" s="152" t="s">
        <v>49</v>
      </c>
      <c r="H26" s="150"/>
      <c r="I26" s="153"/>
      <c r="J26" s="154"/>
      <c r="K26" s="155" t="s">
        <v>50</v>
      </c>
      <c r="L26" s="153"/>
      <c r="M26" s="153"/>
      <c r="N26" s="153"/>
      <c r="O26" s="154"/>
      <c r="P26" s="155" t="s">
        <v>54</v>
      </c>
      <c r="Q26" s="154"/>
      <c r="R26" s="152" t="s">
        <v>55</v>
      </c>
      <c r="S26" s="150"/>
      <c r="T26" s="151"/>
    </row>
    <row r="27" spans="1:20" s="30" customFormat="1" ht="18.75" x14ac:dyDescent="0.3">
      <c r="A27" s="31" t="s">
        <v>44</v>
      </c>
      <c r="B27" s="54"/>
      <c r="C27" s="136">
        <v>30</v>
      </c>
      <c r="D27" s="136"/>
      <c r="E27" s="136"/>
      <c r="F27" s="132"/>
      <c r="G27" s="144">
        <v>31</v>
      </c>
      <c r="H27" s="142"/>
      <c r="I27" s="142"/>
      <c r="J27" s="143"/>
      <c r="K27" s="131">
        <v>30</v>
      </c>
      <c r="L27" s="136"/>
      <c r="M27" s="136"/>
      <c r="N27" s="136"/>
      <c r="O27" s="132"/>
      <c r="P27" s="144">
        <f>C27+G27+K27</f>
        <v>91</v>
      </c>
      <c r="Q27" s="143"/>
      <c r="R27" s="144">
        <f>P14+P27</f>
        <v>182</v>
      </c>
      <c r="S27" s="142"/>
      <c r="T27" s="143"/>
    </row>
    <row r="28" spans="1:20" s="30" customFormat="1" ht="18.75" x14ac:dyDescent="0.3">
      <c r="A28" s="31" t="s">
        <v>45</v>
      </c>
      <c r="B28" s="54"/>
      <c r="C28" s="136">
        <v>20</v>
      </c>
      <c r="D28" s="136"/>
      <c r="E28" s="136"/>
      <c r="F28" s="132"/>
      <c r="G28" s="144">
        <v>20</v>
      </c>
      <c r="H28" s="142"/>
      <c r="I28" s="142"/>
      <c r="J28" s="143"/>
      <c r="K28" s="131">
        <v>19</v>
      </c>
      <c r="L28" s="136"/>
      <c r="M28" s="136"/>
      <c r="N28" s="136"/>
      <c r="O28" s="132"/>
      <c r="P28" s="144">
        <f t="shared" ref="P28:P29" si="0">C28+G28+K28</f>
        <v>59</v>
      </c>
      <c r="Q28" s="143"/>
      <c r="R28" s="144">
        <f t="shared" ref="R28:R29" si="1">P15+P28</f>
        <v>116</v>
      </c>
      <c r="S28" s="142"/>
      <c r="T28" s="143"/>
    </row>
    <row r="29" spans="1:20" s="30" customFormat="1" ht="18.75" x14ac:dyDescent="0.3">
      <c r="A29" s="31" t="s">
        <v>46</v>
      </c>
      <c r="C29" s="133">
        <v>10</v>
      </c>
      <c r="D29" s="133"/>
      <c r="E29" s="133"/>
      <c r="F29" s="157"/>
      <c r="G29" s="147">
        <v>11</v>
      </c>
      <c r="H29" s="148"/>
      <c r="I29" s="148"/>
      <c r="J29" s="149"/>
      <c r="K29" s="158">
        <v>11</v>
      </c>
      <c r="L29" s="159"/>
      <c r="M29" s="159"/>
      <c r="N29" s="159"/>
      <c r="O29" s="139"/>
      <c r="P29" s="144">
        <f t="shared" si="0"/>
        <v>32</v>
      </c>
      <c r="Q29" s="143"/>
      <c r="R29" s="144">
        <f t="shared" si="1"/>
        <v>66</v>
      </c>
      <c r="S29" s="142"/>
      <c r="T29" s="143"/>
    </row>
    <row r="30" spans="1:20" s="30" customFormat="1" ht="18.75" x14ac:dyDescent="0.3">
      <c r="A30" s="31"/>
      <c r="B30" s="152" t="s">
        <v>56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</row>
    <row r="31" spans="1:20" s="30" customFormat="1" ht="18.75" x14ac:dyDescent="0.3">
      <c r="A31" s="28"/>
      <c r="B31" s="69"/>
      <c r="C31" s="150" t="s">
        <v>57</v>
      </c>
      <c r="D31" s="150"/>
      <c r="E31" s="150"/>
      <c r="F31" s="150"/>
      <c r="G31" s="150"/>
      <c r="H31" s="151"/>
      <c r="I31" s="155" t="s">
        <v>58</v>
      </c>
      <c r="J31" s="153"/>
      <c r="K31" s="153"/>
      <c r="L31" s="153"/>
      <c r="M31" s="153"/>
      <c r="N31" s="56"/>
      <c r="O31" s="155" t="s">
        <v>59</v>
      </c>
      <c r="P31" s="153"/>
      <c r="Q31" s="153"/>
      <c r="R31" s="156"/>
      <c r="S31" s="156"/>
      <c r="T31" s="36"/>
    </row>
    <row r="32" spans="1:20" s="30" customFormat="1" ht="18.75" x14ac:dyDescent="0.3">
      <c r="A32" s="70" t="s">
        <v>31</v>
      </c>
      <c r="B32" s="43">
        <v>1</v>
      </c>
      <c r="C32" s="43">
        <v>8</v>
      </c>
      <c r="D32" s="43">
        <v>15</v>
      </c>
      <c r="E32" s="43">
        <v>22</v>
      </c>
      <c r="F32" s="43">
        <v>29</v>
      </c>
      <c r="H32" s="43"/>
      <c r="I32" s="71"/>
      <c r="J32" s="43">
        <v>5</v>
      </c>
      <c r="K32" s="43">
        <v>12</v>
      </c>
      <c r="L32" s="43">
        <v>19</v>
      </c>
      <c r="M32" s="43">
        <v>26</v>
      </c>
      <c r="N32" s="66"/>
      <c r="O32" s="58"/>
      <c r="P32" s="59">
        <v>2</v>
      </c>
      <c r="Q32" s="59">
        <v>9</v>
      </c>
      <c r="R32" s="59">
        <v>16</v>
      </c>
      <c r="S32" s="59">
        <v>23</v>
      </c>
      <c r="T32" s="40">
        <v>30</v>
      </c>
    </row>
    <row r="33" spans="1:20" s="30" customFormat="1" ht="18.75" x14ac:dyDescent="0.3">
      <c r="A33" s="31" t="s">
        <v>32</v>
      </c>
      <c r="B33" s="43">
        <v>2</v>
      </c>
      <c r="C33" s="43">
        <v>9</v>
      </c>
      <c r="D33" s="43">
        <v>16</v>
      </c>
      <c r="E33" s="43">
        <v>23</v>
      </c>
      <c r="F33" s="43">
        <v>30</v>
      </c>
      <c r="H33" s="43"/>
      <c r="I33" s="71"/>
      <c r="J33" s="43">
        <v>6</v>
      </c>
      <c r="K33" s="43">
        <v>13</v>
      </c>
      <c r="L33" s="62">
        <v>20</v>
      </c>
      <c r="M33" s="43">
        <v>27</v>
      </c>
      <c r="N33" s="66"/>
      <c r="O33" s="63"/>
      <c r="P33" s="43">
        <v>3</v>
      </c>
      <c r="Q33" s="43">
        <v>10</v>
      </c>
      <c r="R33" s="43">
        <v>17</v>
      </c>
      <c r="S33" s="43">
        <v>24</v>
      </c>
      <c r="T33" s="36"/>
    </row>
    <row r="34" spans="1:20" s="30" customFormat="1" ht="18.75" x14ac:dyDescent="0.3">
      <c r="A34" s="31" t="s">
        <v>33</v>
      </c>
      <c r="B34" s="43">
        <v>3</v>
      </c>
      <c r="C34" s="43">
        <v>10</v>
      </c>
      <c r="D34" s="43">
        <v>17</v>
      </c>
      <c r="E34" s="43">
        <v>24</v>
      </c>
      <c r="F34" s="43">
        <v>31</v>
      </c>
      <c r="H34" s="43"/>
      <c r="I34" s="71"/>
      <c r="J34" s="43">
        <v>7</v>
      </c>
      <c r="K34" s="43">
        <v>14</v>
      </c>
      <c r="L34" s="43">
        <v>21</v>
      </c>
      <c r="M34" s="43">
        <v>28</v>
      </c>
      <c r="N34" s="66"/>
      <c r="O34" s="63"/>
      <c r="P34" s="43">
        <v>4</v>
      </c>
      <c r="Q34" s="43">
        <v>11</v>
      </c>
      <c r="R34" s="43">
        <v>18</v>
      </c>
      <c r="S34" s="43">
        <v>25</v>
      </c>
      <c r="T34" s="72"/>
    </row>
    <row r="35" spans="1:20" s="30" customFormat="1" ht="18.75" x14ac:dyDescent="0.3">
      <c r="A35" s="31" t="s">
        <v>34</v>
      </c>
      <c r="B35" s="43">
        <v>4</v>
      </c>
      <c r="C35" s="43">
        <v>11</v>
      </c>
      <c r="D35" s="43">
        <v>18</v>
      </c>
      <c r="E35" s="43">
        <v>25</v>
      </c>
      <c r="F35" s="43"/>
      <c r="H35" s="43"/>
      <c r="I35" s="71">
        <v>1</v>
      </c>
      <c r="J35" s="43">
        <v>8</v>
      </c>
      <c r="K35" s="43">
        <v>15</v>
      </c>
      <c r="L35" s="43">
        <v>22</v>
      </c>
      <c r="M35" s="44" t="s">
        <v>60</v>
      </c>
      <c r="N35" s="66"/>
      <c r="O35" s="63"/>
      <c r="P35" s="43">
        <v>5</v>
      </c>
      <c r="Q35" s="43">
        <v>12</v>
      </c>
      <c r="R35" s="43">
        <v>19</v>
      </c>
      <c r="S35" s="43">
        <v>26</v>
      </c>
      <c r="T35" s="72"/>
    </row>
    <row r="36" spans="1:20" s="30" customFormat="1" ht="18.75" x14ac:dyDescent="0.3">
      <c r="A36" s="31" t="s">
        <v>37</v>
      </c>
      <c r="B36" s="43">
        <v>5</v>
      </c>
      <c r="C36" s="43">
        <v>12</v>
      </c>
      <c r="D36" s="43">
        <v>19</v>
      </c>
      <c r="E36" s="43">
        <v>26</v>
      </c>
      <c r="F36" s="43"/>
      <c r="H36" s="43"/>
      <c r="I36" s="71">
        <v>2</v>
      </c>
      <c r="J36" s="43">
        <v>9</v>
      </c>
      <c r="K36" s="43">
        <v>16</v>
      </c>
      <c r="L36" s="43">
        <v>23</v>
      </c>
      <c r="M36" s="33">
        <v>30</v>
      </c>
      <c r="N36" s="66"/>
      <c r="O36" s="63"/>
      <c r="P36" s="43">
        <v>6</v>
      </c>
      <c r="Q36" s="43">
        <v>13</v>
      </c>
      <c r="R36" s="43">
        <v>20</v>
      </c>
      <c r="S36" s="43">
        <v>27</v>
      </c>
      <c r="T36" s="72"/>
    </row>
    <row r="37" spans="1:20" s="30" customFormat="1" ht="18.75" x14ac:dyDescent="0.3">
      <c r="A37" s="31" t="s">
        <v>38</v>
      </c>
      <c r="B37" s="33">
        <v>6</v>
      </c>
      <c r="C37" s="33">
        <v>13</v>
      </c>
      <c r="D37" s="33">
        <v>20</v>
      </c>
      <c r="E37" s="33">
        <v>27</v>
      </c>
      <c r="F37" s="33"/>
      <c r="H37" s="33"/>
      <c r="I37" s="46">
        <v>3</v>
      </c>
      <c r="J37" s="33">
        <v>10</v>
      </c>
      <c r="K37" s="33">
        <v>17</v>
      </c>
      <c r="L37" s="33">
        <v>24</v>
      </c>
      <c r="M37" s="33">
        <v>31</v>
      </c>
      <c r="N37" s="47"/>
      <c r="O37" s="73"/>
      <c r="P37" s="33">
        <v>7</v>
      </c>
      <c r="Q37" s="33">
        <v>14</v>
      </c>
      <c r="R37" s="33">
        <v>21</v>
      </c>
      <c r="S37" s="33">
        <v>28</v>
      </c>
      <c r="T37" s="72"/>
    </row>
    <row r="38" spans="1:20" s="30" customFormat="1" ht="18.75" x14ac:dyDescent="0.3">
      <c r="A38" s="31" t="s">
        <v>39</v>
      </c>
      <c r="B38" s="50">
        <v>7</v>
      </c>
      <c r="C38" s="50">
        <v>14</v>
      </c>
      <c r="D38" s="50">
        <v>21</v>
      </c>
      <c r="E38" s="50">
        <v>28</v>
      </c>
      <c r="F38" s="50"/>
      <c r="H38" s="50"/>
      <c r="I38" s="51">
        <v>4</v>
      </c>
      <c r="J38" s="50">
        <v>11</v>
      </c>
      <c r="K38" s="50">
        <v>18</v>
      </c>
      <c r="L38" s="50">
        <v>25</v>
      </c>
      <c r="M38" s="50"/>
      <c r="N38" s="52"/>
      <c r="O38" s="50">
        <v>1</v>
      </c>
      <c r="P38" s="50">
        <v>8</v>
      </c>
      <c r="Q38" s="50">
        <v>15</v>
      </c>
      <c r="R38" s="50">
        <v>22</v>
      </c>
      <c r="S38" s="50">
        <v>29</v>
      </c>
      <c r="T38" s="74"/>
    </row>
    <row r="39" spans="1:20" s="30" customFormat="1" ht="18.75" x14ac:dyDescent="0.3">
      <c r="A39" s="28"/>
      <c r="B39" s="55"/>
      <c r="C39" s="150" t="s">
        <v>57</v>
      </c>
      <c r="D39" s="150"/>
      <c r="E39" s="150"/>
      <c r="F39" s="151"/>
      <c r="G39" s="152" t="s">
        <v>58</v>
      </c>
      <c r="H39" s="150"/>
      <c r="I39" s="153"/>
      <c r="J39" s="154"/>
      <c r="K39" s="155" t="s">
        <v>59</v>
      </c>
      <c r="L39" s="153"/>
      <c r="M39" s="153"/>
      <c r="N39" s="153"/>
      <c r="O39" s="154"/>
      <c r="P39" s="152" t="s">
        <v>61</v>
      </c>
      <c r="Q39" s="150"/>
      <c r="R39" s="153"/>
      <c r="S39" s="153"/>
      <c r="T39" s="154"/>
    </row>
    <row r="40" spans="1:20" s="30" customFormat="1" ht="18.75" x14ac:dyDescent="0.3">
      <c r="A40" s="31" t="s">
        <v>44</v>
      </c>
      <c r="B40" s="54"/>
      <c r="C40" s="142">
        <v>31</v>
      </c>
      <c r="D40" s="142"/>
      <c r="E40" s="142"/>
      <c r="F40" s="143"/>
      <c r="G40" s="144">
        <v>31</v>
      </c>
      <c r="H40" s="142"/>
      <c r="I40" s="142"/>
      <c r="J40" s="143"/>
      <c r="K40" s="144">
        <v>30</v>
      </c>
      <c r="L40" s="142"/>
      <c r="M40" s="142"/>
      <c r="N40" s="142"/>
      <c r="O40" s="143"/>
      <c r="P40" s="144">
        <f>C40+G40+K40</f>
        <v>92</v>
      </c>
      <c r="Q40" s="142"/>
      <c r="R40" s="142"/>
      <c r="S40" s="142"/>
      <c r="T40" s="143"/>
    </row>
    <row r="41" spans="1:20" s="30" customFormat="1" ht="18.75" x14ac:dyDescent="0.3">
      <c r="A41" s="31" t="s">
        <v>45</v>
      </c>
      <c r="B41" s="54"/>
      <c r="C41" s="142">
        <v>23</v>
      </c>
      <c r="D41" s="142"/>
      <c r="E41" s="142"/>
      <c r="F41" s="143"/>
      <c r="G41" s="144">
        <v>21</v>
      </c>
      <c r="H41" s="142"/>
      <c r="I41" s="142"/>
      <c r="J41" s="143"/>
      <c r="K41" s="144">
        <v>21</v>
      </c>
      <c r="L41" s="142"/>
      <c r="M41" s="142"/>
      <c r="N41" s="142"/>
      <c r="O41" s="143"/>
      <c r="P41" s="144">
        <f t="shared" ref="P41:P42" si="2">C41+G41+K41</f>
        <v>65</v>
      </c>
      <c r="Q41" s="142"/>
      <c r="R41" s="142"/>
      <c r="S41" s="142"/>
      <c r="T41" s="143"/>
    </row>
    <row r="42" spans="1:20" s="30" customFormat="1" ht="18.75" x14ac:dyDescent="0.3">
      <c r="A42" s="31" t="s">
        <v>46</v>
      </c>
      <c r="C42" s="145">
        <v>8</v>
      </c>
      <c r="D42" s="145"/>
      <c r="E42" s="145"/>
      <c r="F42" s="146"/>
      <c r="G42" s="147">
        <v>10</v>
      </c>
      <c r="H42" s="148"/>
      <c r="I42" s="148"/>
      <c r="J42" s="149"/>
      <c r="K42" s="147">
        <v>9</v>
      </c>
      <c r="L42" s="148"/>
      <c r="M42" s="148"/>
      <c r="N42" s="148"/>
      <c r="O42" s="149"/>
      <c r="P42" s="144">
        <f t="shared" si="2"/>
        <v>27</v>
      </c>
      <c r="Q42" s="142"/>
      <c r="R42" s="142"/>
      <c r="S42" s="142"/>
      <c r="T42" s="143"/>
    </row>
    <row r="43" spans="1:20" s="30" customFormat="1" ht="18.75" x14ac:dyDescent="0.3">
      <c r="A43" s="31"/>
      <c r="B43" s="152" t="s">
        <v>62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1"/>
    </row>
    <row r="44" spans="1:20" s="30" customFormat="1" ht="18.75" x14ac:dyDescent="0.3">
      <c r="A44" s="31"/>
      <c r="B44" s="69"/>
      <c r="C44" s="150" t="s">
        <v>63</v>
      </c>
      <c r="D44" s="150"/>
      <c r="E44" s="150"/>
      <c r="F44" s="150"/>
      <c r="G44" s="150"/>
      <c r="H44" s="151"/>
      <c r="I44" s="155" t="s">
        <v>64</v>
      </c>
      <c r="J44" s="153"/>
      <c r="K44" s="153"/>
      <c r="L44" s="153"/>
      <c r="M44" s="153"/>
      <c r="N44" s="56"/>
      <c r="O44" s="155" t="s">
        <v>65</v>
      </c>
      <c r="P44" s="153"/>
      <c r="Q44" s="153"/>
      <c r="R44" s="153"/>
      <c r="S44" s="153"/>
      <c r="T44" s="29"/>
    </row>
    <row r="45" spans="1:20" s="30" customFormat="1" ht="18.75" x14ac:dyDescent="0.3">
      <c r="A45" s="75" t="s">
        <v>31</v>
      </c>
      <c r="B45" s="34"/>
      <c r="C45" s="43">
        <v>7</v>
      </c>
      <c r="D45" s="34">
        <v>14</v>
      </c>
      <c r="E45" s="34">
        <v>21</v>
      </c>
      <c r="F45" s="34">
        <v>28</v>
      </c>
      <c r="G45" s="34"/>
      <c r="I45" s="71"/>
      <c r="J45" s="33">
        <v>4</v>
      </c>
      <c r="K45" s="43">
        <v>11</v>
      </c>
      <c r="L45" s="43">
        <v>18</v>
      </c>
      <c r="M45" s="43">
        <v>25</v>
      </c>
      <c r="N45" s="36"/>
      <c r="O45" s="76"/>
      <c r="P45" s="59">
        <v>2</v>
      </c>
      <c r="Q45" s="59">
        <v>9</v>
      </c>
      <c r="R45" s="59">
        <v>16</v>
      </c>
      <c r="S45" s="59">
        <v>23</v>
      </c>
      <c r="T45" s="77">
        <v>30</v>
      </c>
    </row>
    <row r="46" spans="1:20" s="30" customFormat="1" ht="18.75" x14ac:dyDescent="0.3">
      <c r="A46" s="78" t="s">
        <v>32</v>
      </c>
      <c r="B46" s="34">
        <v>1</v>
      </c>
      <c r="C46" s="43">
        <v>8</v>
      </c>
      <c r="D46" s="34">
        <v>15</v>
      </c>
      <c r="E46" s="34">
        <v>22</v>
      </c>
      <c r="F46" s="34">
        <v>29</v>
      </c>
      <c r="G46" s="34"/>
      <c r="I46" s="71"/>
      <c r="J46" s="44" t="s">
        <v>66</v>
      </c>
      <c r="K46" s="43">
        <v>12</v>
      </c>
      <c r="L46" s="62">
        <v>19</v>
      </c>
      <c r="M46" s="43">
        <v>26</v>
      </c>
      <c r="N46" s="36"/>
      <c r="O46" s="71"/>
      <c r="P46" s="43">
        <v>3</v>
      </c>
      <c r="Q46" s="43">
        <v>10</v>
      </c>
      <c r="R46" s="43">
        <v>17</v>
      </c>
      <c r="S46" s="43">
        <v>24</v>
      </c>
      <c r="T46" s="47">
        <v>31</v>
      </c>
    </row>
    <row r="47" spans="1:20" s="30" customFormat="1" ht="18.75" x14ac:dyDescent="0.3">
      <c r="A47" s="78" t="s">
        <v>33</v>
      </c>
      <c r="B47" s="34">
        <v>2</v>
      </c>
      <c r="C47" s="43">
        <v>9</v>
      </c>
      <c r="D47" s="34">
        <v>16</v>
      </c>
      <c r="E47" s="34">
        <v>23</v>
      </c>
      <c r="F47" s="34">
        <v>30</v>
      </c>
      <c r="G47" s="34"/>
      <c r="I47" s="71"/>
      <c r="J47" s="33">
        <v>6</v>
      </c>
      <c r="K47" s="43">
        <v>13</v>
      </c>
      <c r="L47" s="43">
        <v>20</v>
      </c>
      <c r="M47" s="43">
        <v>27</v>
      </c>
      <c r="N47" s="36"/>
      <c r="O47" s="71"/>
      <c r="P47" s="43">
        <v>4</v>
      </c>
      <c r="Q47" s="43">
        <v>11</v>
      </c>
      <c r="R47" s="43">
        <v>18</v>
      </c>
      <c r="S47" s="43">
        <v>25</v>
      </c>
      <c r="T47" s="65"/>
    </row>
    <row r="48" spans="1:20" s="30" customFormat="1" ht="18.75" x14ac:dyDescent="0.3">
      <c r="A48" s="78" t="s">
        <v>34</v>
      </c>
      <c r="B48" s="34">
        <v>3</v>
      </c>
      <c r="C48" s="43">
        <v>10</v>
      </c>
      <c r="D48" s="34">
        <v>17</v>
      </c>
      <c r="E48" s="34">
        <v>24</v>
      </c>
      <c r="F48" s="34">
        <v>31</v>
      </c>
      <c r="G48" s="34"/>
      <c r="I48" s="71"/>
      <c r="J48" s="43">
        <v>7</v>
      </c>
      <c r="K48" s="43">
        <v>14</v>
      </c>
      <c r="L48" s="43">
        <v>21</v>
      </c>
      <c r="M48" s="43">
        <v>28</v>
      </c>
      <c r="N48" s="36"/>
      <c r="O48" s="71"/>
      <c r="P48" s="43">
        <v>5</v>
      </c>
      <c r="Q48" s="43">
        <v>12</v>
      </c>
      <c r="R48" s="43">
        <v>19</v>
      </c>
      <c r="S48" s="43">
        <v>26</v>
      </c>
      <c r="T48" s="65"/>
    </row>
    <row r="49" spans="1:22" s="30" customFormat="1" ht="18.75" x14ac:dyDescent="0.3">
      <c r="A49" s="78" t="s">
        <v>37</v>
      </c>
      <c r="B49" s="34">
        <v>4</v>
      </c>
      <c r="C49" s="43">
        <v>11</v>
      </c>
      <c r="D49" s="34">
        <v>18</v>
      </c>
      <c r="E49" s="34">
        <v>25</v>
      </c>
      <c r="F49" s="34"/>
      <c r="G49" s="34"/>
      <c r="I49" s="71">
        <v>1</v>
      </c>
      <c r="J49" s="43">
        <v>8</v>
      </c>
      <c r="K49" s="43">
        <v>15</v>
      </c>
      <c r="L49" s="43">
        <v>22</v>
      </c>
      <c r="M49" s="43">
        <v>29</v>
      </c>
      <c r="N49" s="36"/>
      <c r="O49" s="71"/>
      <c r="P49" s="43">
        <v>6</v>
      </c>
      <c r="Q49" s="43">
        <v>13</v>
      </c>
      <c r="R49" s="43">
        <v>20</v>
      </c>
      <c r="S49" s="43">
        <v>27</v>
      </c>
      <c r="T49" s="65"/>
    </row>
    <row r="50" spans="1:22" s="30" customFormat="1" ht="18.75" x14ac:dyDescent="0.3">
      <c r="A50" s="78" t="s">
        <v>38</v>
      </c>
      <c r="B50" s="33">
        <v>5</v>
      </c>
      <c r="C50" s="33">
        <v>12</v>
      </c>
      <c r="D50" s="33">
        <v>19</v>
      </c>
      <c r="E50" s="33">
        <v>26</v>
      </c>
      <c r="F50" s="33"/>
      <c r="G50" s="33"/>
      <c r="I50" s="79" t="s">
        <v>67</v>
      </c>
      <c r="J50" s="33">
        <v>9</v>
      </c>
      <c r="K50" s="33">
        <v>16</v>
      </c>
      <c r="L50" s="33">
        <v>23</v>
      </c>
      <c r="M50" s="33">
        <v>30</v>
      </c>
      <c r="N50" s="47"/>
      <c r="O50" s="67"/>
      <c r="P50" s="33">
        <v>7</v>
      </c>
      <c r="Q50" s="33">
        <v>14</v>
      </c>
      <c r="R50" s="33">
        <v>21</v>
      </c>
      <c r="S50" s="43">
        <v>28</v>
      </c>
      <c r="T50" s="80"/>
    </row>
    <row r="51" spans="1:22" s="30" customFormat="1" ht="18.75" x14ac:dyDescent="0.3">
      <c r="A51" s="78" t="s">
        <v>39</v>
      </c>
      <c r="B51" s="50">
        <v>6</v>
      </c>
      <c r="C51" s="50">
        <v>13</v>
      </c>
      <c r="D51" s="50">
        <v>20</v>
      </c>
      <c r="E51" s="50">
        <v>27</v>
      </c>
      <c r="F51" s="50"/>
      <c r="G51" s="50"/>
      <c r="I51" s="51">
        <v>3</v>
      </c>
      <c r="J51" s="50">
        <v>10</v>
      </c>
      <c r="K51" s="50">
        <v>17</v>
      </c>
      <c r="L51" s="50">
        <v>24</v>
      </c>
      <c r="M51" s="50"/>
      <c r="N51" s="52"/>
      <c r="O51" s="51">
        <v>1</v>
      </c>
      <c r="P51" s="50">
        <v>8</v>
      </c>
      <c r="Q51" s="50">
        <v>15</v>
      </c>
      <c r="R51" s="50">
        <v>22</v>
      </c>
      <c r="S51" s="50">
        <v>29</v>
      </c>
      <c r="T51" s="81"/>
    </row>
    <row r="52" spans="1:22" s="30" customFormat="1" ht="18.75" x14ac:dyDescent="0.3">
      <c r="A52" s="28"/>
      <c r="B52" s="69"/>
      <c r="C52" s="150" t="s">
        <v>63</v>
      </c>
      <c r="D52" s="150"/>
      <c r="E52" s="150"/>
      <c r="F52" s="151"/>
      <c r="G52" s="152" t="s">
        <v>64</v>
      </c>
      <c r="H52" s="150"/>
      <c r="I52" s="153"/>
      <c r="J52" s="154"/>
      <c r="K52" s="155" t="s">
        <v>65</v>
      </c>
      <c r="L52" s="153"/>
      <c r="M52" s="153"/>
      <c r="N52" s="153"/>
      <c r="O52" s="154"/>
      <c r="P52" s="155" t="s">
        <v>68</v>
      </c>
      <c r="Q52" s="154"/>
      <c r="R52" s="152" t="s">
        <v>69</v>
      </c>
      <c r="S52" s="151"/>
      <c r="T52" s="82" t="s">
        <v>70</v>
      </c>
    </row>
    <row r="53" spans="1:22" s="30" customFormat="1" ht="18.75" x14ac:dyDescent="0.3">
      <c r="A53" s="31" t="s">
        <v>44</v>
      </c>
      <c r="B53" s="83"/>
      <c r="C53" s="142">
        <v>31</v>
      </c>
      <c r="D53" s="142"/>
      <c r="E53" s="142"/>
      <c r="F53" s="143"/>
      <c r="G53" s="144">
        <v>30</v>
      </c>
      <c r="H53" s="142"/>
      <c r="I53" s="142"/>
      <c r="J53" s="143"/>
      <c r="K53" s="144">
        <v>31</v>
      </c>
      <c r="L53" s="142"/>
      <c r="M53" s="142"/>
      <c r="N53" s="142"/>
      <c r="O53" s="143"/>
      <c r="P53" s="144">
        <f>C53+G53+K53</f>
        <v>92</v>
      </c>
      <c r="Q53" s="143"/>
      <c r="R53" s="144">
        <f>P40+P53</f>
        <v>184</v>
      </c>
      <c r="S53" s="143"/>
      <c r="T53" s="84">
        <f>R27+R53</f>
        <v>366</v>
      </c>
    </row>
    <row r="54" spans="1:22" s="30" customFormat="1" ht="18.75" x14ac:dyDescent="0.3">
      <c r="A54" s="31" t="s">
        <v>45</v>
      </c>
      <c r="B54" s="83"/>
      <c r="C54" s="142">
        <v>23</v>
      </c>
      <c r="D54" s="142"/>
      <c r="E54" s="142"/>
      <c r="F54" s="143"/>
      <c r="G54" s="144">
        <v>20</v>
      </c>
      <c r="H54" s="142"/>
      <c r="I54" s="142"/>
      <c r="J54" s="143"/>
      <c r="K54" s="144">
        <v>21</v>
      </c>
      <c r="L54" s="142"/>
      <c r="M54" s="142"/>
      <c r="N54" s="142"/>
      <c r="O54" s="143"/>
      <c r="P54" s="144">
        <f t="shared" ref="P54:P55" si="3">C54+G54+K54</f>
        <v>64</v>
      </c>
      <c r="Q54" s="143"/>
      <c r="R54" s="144">
        <f t="shared" ref="R54:R55" si="4">P41+P54</f>
        <v>129</v>
      </c>
      <c r="S54" s="143"/>
      <c r="T54" s="84">
        <f t="shared" ref="T54:T55" si="5">R28+R54</f>
        <v>245</v>
      </c>
    </row>
    <row r="55" spans="1:22" s="30" customFormat="1" ht="18.75" x14ac:dyDescent="0.3">
      <c r="A55" s="85" t="s">
        <v>46</v>
      </c>
      <c r="C55" s="145">
        <v>8</v>
      </c>
      <c r="D55" s="145"/>
      <c r="E55" s="145"/>
      <c r="F55" s="146"/>
      <c r="G55" s="147">
        <v>10</v>
      </c>
      <c r="H55" s="148"/>
      <c r="I55" s="148"/>
      <c r="J55" s="149"/>
      <c r="K55" s="147">
        <v>10</v>
      </c>
      <c r="L55" s="148"/>
      <c r="M55" s="148"/>
      <c r="N55" s="148"/>
      <c r="O55" s="149"/>
      <c r="P55" s="144">
        <f t="shared" si="3"/>
        <v>28</v>
      </c>
      <c r="Q55" s="143"/>
      <c r="R55" s="144">
        <f t="shared" si="4"/>
        <v>55</v>
      </c>
      <c r="S55" s="143"/>
      <c r="T55" s="84">
        <f t="shared" si="5"/>
        <v>121</v>
      </c>
    </row>
    <row r="56" spans="1:22" s="30" customFormat="1" ht="18.75" x14ac:dyDescent="0.3">
      <c r="A56" s="131" t="s">
        <v>71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9"/>
    </row>
    <row r="57" spans="1:22" s="30" customFormat="1" ht="18.75" x14ac:dyDescent="0.3">
      <c r="A57" s="37"/>
      <c r="B57" s="86" t="s">
        <v>14</v>
      </c>
      <c r="C57" s="140" t="s">
        <v>15</v>
      </c>
      <c r="D57" s="141"/>
      <c r="E57" s="140" t="s">
        <v>16</v>
      </c>
      <c r="F57" s="141"/>
      <c r="G57" s="140" t="s">
        <v>17</v>
      </c>
      <c r="H57" s="141"/>
      <c r="I57" s="140" t="s">
        <v>18</v>
      </c>
      <c r="J57" s="141"/>
      <c r="K57" s="140" t="s">
        <v>19</v>
      </c>
      <c r="L57" s="141"/>
      <c r="M57" s="140" t="s">
        <v>13</v>
      </c>
      <c r="N57" s="141"/>
      <c r="O57" s="140" t="s">
        <v>20</v>
      </c>
      <c r="P57" s="141"/>
      <c r="Q57" s="87" t="s">
        <v>21</v>
      </c>
      <c r="R57" s="88" t="s">
        <v>22</v>
      </c>
      <c r="S57" s="87" t="s">
        <v>23</v>
      </c>
      <c r="T57" s="89" t="s">
        <v>24</v>
      </c>
      <c r="U57" s="90" t="s">
        <v>72</v>
      </c>
      <c r="V57" s="28" t="str">
        <f>TEXT([1]Табель!R1,"ММММ")</f>
        <v>Апрель</v>
      </c>
    </row>
    <row r="58" spans="1:22" s="30" customFormat="1" ht="18.75" x14ac:dyDescent="0.3">
      <c r="A58" s="91" t="s">
        <v>73</v>
      </c>
      <c r="B58" s="92">
        <v>17</v>
      </c>
      <c r="C58" s="137">
        <v>20</v>
      </c>
      <c r="D58" s="137"/>
      <c r="E58" s="137">
        <v>20</v>
      </c>
      <c r="F58" s="137"/>
      <c r="G58" s="137">
        <v>20</v>
      </c>
      <c r="H58" s="137"/>
      <c r="I58" s="137">
        <v>20</v>
      </c>
      <c r="J58" s="137"/>
      <c r="K58" s="137">
        <v>19</v>
      </c>
      <c r="L58" s="137"/>
      <c r="M58" s="137">
        <v>23</v>
      </c>
      <c r="N58" s="137"/>
      <c r="O58" s="137">
        <v>21</v>
      </c>
      <c r="P58" s="137"/>
      <c r="Q58" s="92">
        <v>21</v>
      </c>
      <c r="R58" s="92">
        <v>23</v>
      </c>
      <c r="S58" s="92">
        <v>20</v>
      </c>
      <c r="T58" s="92">
        <v>21</v>
      </c>
      <c r="U58" s="90">
        <f>SUM(B58:T58)</f>
        <v>245</v>
      </c>
      <c r="V58" s="93">
        <f t="array" ref="V58">MAX(($B$57:$T$57=$V$57)*B58:T58)</f>
        <v>20</v>
      </c>
    </row>
    <row r="59" spans="1:22" s="30" customFormat="1" ht="18.75" x14ac:dyDescent="0.3">
      <c r="A59" s="94" t="s">
        <v>74</v>
      </c>
      <c r="B59" s="95">
        <v>136</v>
      </c>
      <c r="C59" s="138">
        <v>159</v>
      </c>
      <c r="D59" s="138"/>
      <c r="E59" s="138">
        <v>159</v>
      </c>
      <c r="F59" s="138"/>
      <c r="G59" s="138">
        <v>159</v>
      </c>
      <c r="H59" s="138"/>
      <c r="I59" s="138">
        <v>159</v>
      </c>
      <c r="J59" s="138"/>
      <c r="K59" s="138">
        <v>151</v>
      </c>
      <c r="L59" s="138"/>
      <c r="M59" s="138">
        <v>184</v>
      </c>
      <c r="N59" s="138"/>
      <c r="O59" s="138">
        <v>167</v>
      </c>
      <c r="P59" s="138"/>
      <c r="Q59" s="95">
        <v>168</v>
      </c>
      <c r="R59" s="95">
        <v>184</v>
      </c>
      <c r="S59" s="95">
        <v>158</v>
      </c>
      <c r="T59" s="95">
        <v>168</v>
      </c>
      <c r="U59" s="96">
        <f>SUM(B59:T59)</f>
        <v>1952</v>
      </c>
      <c r="V59" s="93">
        <f t="array" ref="V59">MAX(($B$57:$T$57=$V$57)*B59:T59)</f>
        <v>159</v>
      </c>
    </row>
    <row r="60" spans="1:22" s="30" customFormat="1" ht="18.75" x14ac:dyDescent="0.3">
      <c r="A60" s="28" t="s">
        <v>75</v>
      </c>
      <c r="B60" s="97">
        <v>132.6</v>
      </c>
      <c r="C60" s="131">
        <v>155</v>
      </c>
      <c r="D60" s="132"/>
      <c r="E60" s="131">
        <v>155</v>
      </c>
      <c r="F60" s="132"/>
      <c r="G60" s="131">
        <v>155</v>
      </c>
      <c r="H60" s="132">
        <v>147</v>
      </c>
      <c r="I60" s="131">
        <v>155</v>
      </c>
      <c r="J60" s="132"/>
      <c r="K60" s="131">
        <v>147.19999999999999</v>
      </c>
      <c r="L60" s="132">
        <v>154.80000000000001</v>
      </c>
      <c r="M60" s="131">
        <v>179.4</v>
      </c>
      <c r="N60" s="132"/>
      <c r="O60" s="131">
        <v>162.80000000000001</v>
      </c>
      <c r="P60" s="132">
        <v>170.4</v>
      </c>
      <c r="Q60" s="95">
        <v>163.80000000000001</v>
      </c>
      <c r="R60" s="98">
        <v>179.4</v>
      </c>
      <c r="S60" s="95">
        <v>154</v>
      </c>
      <c r="T60" s="99">
        <v>163.80000000000001</v>
      </c>
    </row>
    <row r="61" spans="1:22" s="30" customFormat="1" ht="18.75" x14ac:dyDescent="0.3">
      <c r="A61" s="28" t="s">
        <v>76</v>
      </c>
      <c r="B61" s="97">
        <v>122.4</v>
      </c>
      <c r="C61" s="131">
        <v>143</v>
      </c>
      <c r="D61" s="132"/>
      <c r="E61" s="131">
        <v>143</v>
      </c>
      <c r="F61" s="132"/>
      <c r="G61" s="131">
        <v>143</v>
      </c>
      <c r="H61" s="132">
        <v>135</v>
      </c>
      <c r="I61" s="131">
        <v>143</v>
      </c>
      <c r="J61" s="132"/>
      <c r="K61" s="131">
        <v>135.80000000000001</v>
      </c>
      <c r="L61" s="132">
        <v>142.19999999999999</v>
      </c>
      <c r="M61" s="131">
        <v>165.6</v>
      </c>
      <c r="N61" s="132"/>
      <c r="O61" s="131">
        <v>150.19999999999999</v>
      </c>
      <c r="P61" s="132">
        <v>156.6</v>
      </c>
      <c r="Q61" s="95">
        <v>151.19999999999999</v>
      </c>
      <c r="R61" s="98">
        <v>165.6</v>
      </c>
      <c r="S61" s="95">
        <v>142</v>
      </c>
      <c r="T61" s="95">
        <v>151.19999999999999</v>
      </c>
    </row>
    <row r="62" spans="1:22" s="30" customFormat="1" ht="18.75" x14ac:dyDescent="0.3">
      <c r="A62" s="28" t="s">
        <v>77</v>
      </c>
      <c r="B62" s="97">
        <v>119</v>
      </c>
      <c r="C62" s="131">
        <v>139</v>
      </c>
      <c r="D62" s="132"/>
      <c r="E62" s="131">
        <v>139</v>
      </c>
      <c r="F62" s="132"/>
      <c r="G62" s="131">
        <v>139</v>
      </c>
      <c r="H62" s="132">
        <v>131</v>
      </c>
      <c r="I62" s="131">
        <v>139</v>
      </c>
      <c r="J62" s="132"/>
      <c r="K62" s="131">
        <v>132</v>
      </c>
      <c r="L62" s="132">
        <v>138</v>
      </c>
      <c r="M62" s="131">
        <v>161</v>
      </c>
      <c r="N62" s="132"/>
      <c r="O62" s="131">
        <v>146</v>
      </c>
      <c r="P62" s="132">
        <v>152</v>
      </c>
      <c r="Q62" s="95">
        <v>147</v>
      </c>
      <c r="R62" s="98">
        <v>161</v>
      </c>
      <c r="S62" s="95">
        <v>138</v>
      </c>
      <c r="T62" s="95">
        <v>147</v>
      </c>
    </row>
    <row r="63" spans="1:22" s="30" customFormat="1" ht="18.75" x14ac:dyDescent="0.3">
      <c r="A63" s="100" t="s">
        <v>78</v>
      </c>
      <c r="B63" s="101">
        <v>81.599999999999994</v>
      </c>
      <c r="C63" s="134">
        <v>95</v>
      </c>
      <c r="D63" s="135"/>
      <c r="E63" s="134">
        <v>95</v>
      </c>
      <c r="F63" s="135"/>
      <c r="G63" s="131">
        <v>95</v>
      </c>
      <c r="H63" s="132">
        <v>87</v>
      </c>
      <c r="I63" s="134">
        <v>95</v>
      </c>
      <c r="J63" s="135"/>
      <c r="K63" s="131">
        <v>90.2</v>
      </c>
      <c r="L63" s="132">
        <v>91.8</v>
      </c>
      <c r="M63" s="131">
        <v>110.4</v>
      </c>
      <c r="N63" s="132"/>
      <c r="O63" s="131">
        <v>99.8</v>
      </c>
      <c r="P63" s="132">
        <v>101.4</v>
      </c>
      <c r="Q63" s="99">
        <v>100.8</v>
      </c>
      <c r="R63" s="102">
        <v>110.4</v>
      </c>
      <c r="S63" s="99">
        <v>94</v>
      </c>
      <c r="T63" s="99">
        <v>100.8</v>
      </c>
    </row>
    <row r="64" spans="1:22" s="30" customFormat="1" ht="18.75" x14ac:dyDescent="0.3">
      <c r="A64" s="103"/>
      <c r="B64" s="34"/>
      <c r="C64" s="34"/>
      <c r="D64" s="34"/>
      <c r="E64" s="34"/>
      <c r="F64" s="34"/>
      <c r="G64" s="34"/>
      <c r="H64" s="34"/>
      <c r="I64" s="34"/>
      <c r="J64" s="34"/>
      <c r="K64" s="39"/>
      <c r="L64" s="39"/>
      <c r="M64" s="39"/>
      <c r="N64" s="39"/>
      <c r="O64" s="39"/>
      <c r="P64" s="39"/>
      <c r="Q64" s="34"/>
      <c r="R64" s="34"/>
      <c r="S64" s="34"/>
      <c r="T64" s="36"/>
    </row>
    <row r="65" spans="1:23" s="30" customFormat="1" ht="18.75" x14ac:dyDescent="0.3">
      <c r="A65" s="54"/>
      <c r="B65" s="131" t="s">
        <v>43</v>
      </c>
      <c r="C65" s="132"/>
      <c r="D65" s="131" t="s">
        <v>54</v>
      </c>
      <c r="E65" s="136"/>
      <c r="F65" s="132"/>
      <c r="G65" s="131" t="s">
        <v>79</v>
      </c>
      <c r="H65" s="136"/>
      <c r="I65" s="132"/>
      <c r="J65" s="131" t="s">
        <v>61</v>
      </c>
      <c r="K65" s="136"/>
      <c r="L65" s="132"/>
      <c r="M65" s="131" t="s">
        <v>68</v>
      </c>
      <c r="N65" s="136"/>
      <c r="O65" s="136"/>
      <c r="P65" s="132"/>
      <c r="Q65" s="131" t="s">
        <v>80</v>
      </c>
      <c r="R65" s="132"/>
      <c r="S65" s="131" t="s">
        <v>70</v>
      </c>
      <c r="T65" s="132"/>
    </row>
    <row r="66" spans="1:23" s="30" customFormat="1" ht="18.75" x14ac:dyDescent="0.3">
      <c r="A66" s="104" t="s">
        <v>74</v>
      </c>
      <c r="B66" s="131">
        <v>454</v>
      </c>
      <c r="C66" s="132"/>
      <c r="D66" s="131">
        <f>G59+I59+K59</f>
        <v>469</v>
      </c>
      <c r="E66" s="136"/>
      <c r="F66" s="132"/>
      <c r="G66" s="131">
        <f>B66+D66</f>
        <v>923</v>
      </c>
      <c r="H66" s="136"/>
      <c r="I66" s="132"/>
      <c r="J66" s="131">
        <f>M59+O59+Q59</f>
        <v>519</v>
      </c>
      <c r="K66" s="136"/>
      <c r="L66" s="132"/>
      <c r="M66" s="131">
        <f>R59+S59+T59</f>
        <v>510</v>
      </c>
      <c r="N66" s="136"/>
      <c r="O66" s="136"/>
      <c r="P66" s="132"/>
      <c r="Q66" s="131">
        <f>J66+M66</f>
        <v>1029</v>
      </c>
      <c r="R66" s="132"/>
      <c r="S66" s="131">
        <f>G66+Q66</f>
        <v>1952</v>
      </c>
      <c r="T66" s="132"/>
      <c r="V66" s="133"/>
      <c r="W66" s="133"/>
    </row>
    <row r="67" spans="1:23" s="30" customFormat="1" ht="18.75" x14ac:dyDescent="0.3">
      <c r="A67" s="54" t="s">
        <v>75</v>
      </c>
      <c r="B67" s="131">
        <v>442.6</v>
      </c>
      <c r="C67" s="132"/>
      <c r="D67" s="131">
        <f t="shared" ref="D67:D70" si="6">G60+I60+K60</f>
        <v>457.2</v>
      </c>
      <c r="E67" s="136"/>
      <c r="F67" s="132"/>
      <c r="G67" s="131">
        <f t="shared" ref="G67:G70" si="7">B67+D67</f>
        <v>899.8</v>
      </c>
      <c r="H67" s="136"/>
      <c r="I67" s="132"/>
      <c r="J67" s="131">
        <f t="shared" ref="J67:J70" si="8">M60+O60+Q60</f>
        <v>506.00000000000006</v>
      </c>
      <c r="K67" s="136"/>
      <c r="L67" s="132"/>
      <c r="M67" s="131">
        <f t="shared" ref="M67:M70" si="9">R60+S60+T60</f>
        <v>497.2</v>
      </c>
      <c r="N67" s="136"/>
      <c r="O67" s="136"/>
      <c r="P67" s="132"/>
      <c r="Q67" s="131">
        <f t="shared" ref="Q67:Q70" si="10">J67+M67</f>
        <v>1003.2</v>
      </c>
      <c r="R67" s="132"/>
      <c r="S67" s="131">
        <f t="shared" ref="S67:S70" si="11">G67+Q67</f>
        <v>1903</v>
      </c>
      <c r="T67" s="132"/>
      <c r="V67" s="133"/>
      <c r="W67" s="133"/>
    </row>
    <row r="68" spans="1:23" s="30" customFormat="1" ht="18.75" x14ac:dyDescent="0.3">
      <c r="A68" s="54" t="s">
        <v>76</v>
      </c>
      <c r="B68" s="131">
        <v>408.4</v>
      </c>
      <c r="C68" s="132"/>
      <c r="D68" s="131">
        <f t="shared" si="6"/>
        <v>421.8</v>
      </c>
      <c r="E68" s="136"/>
      <c r="F68" s="132"/>
      <c r="G68" s="131">
        <f t="shared" si="7"/>
        <v>830.2</v>
      </c>
      <c r="H68" s="136"/>
      <c r="I68" s="132"/>
      <c r="J68" s="131">
        <f t="shared" si="8"/>
        <v>466.99999999999994</v>
      </c>
      <c r="K68" s="136"/>
      <c r="L68" s="132"/>
      <c r="M68" s="131">
        <f t="shared" si="9"/>
        <v>458.8</v>
      </c>
      <c r="N68" s="136"/>
      <c r="O68" s="136"/>
      <c r="P68" s="132"/>
      <c r="Q68" s="131">
        <f t="shared" si="10"/>
        <v>925.8</v>
      </c>
      <c r="R68" s="132"/>
      <c r="S68" s="131">
        <f t="shared" si="11"/>
        <v>1756</v>
      </c>
      <c r="T68" s="132"/>
      <c r="V68" s="133"/>
      <c r="W68" s="133"/>
    </row>
    <row r="69" spans="1:23" s="30" customFormat="1" ht="18.75" x14ac:dyDescent="0.3">
      <c r="A69" s="54" t="s">
        <v>77</v>
      </c>
      <c r="B69" s="131">
        <v>397</v>
      </c>
      <c r="C69" s="132"/>
      <c r="D69" s="131">
        <f t="shared" si="6"/>
        <v>410</v>
      </c>
      <c r="E69" s="136"/>
      <c r="F69" s="132"/>
      <c r="G69" s="131">
        <f t="shared" si="7"/>
        <v>807</v>
      </c>
      <c r="H69" s="136"/>
      <c r="I69" s="132"/>
      <c r="J69" s="131">
        <f t="shared" si="8"/>
        <v>454</v>
      </c>
      <c r="K69" s="136"/>
      <c r="L69" s="132"/>
      <c r="M69" s="131">
        <f t="shared" si="9"/>
        <v>446</v>
      </c>
      <c r="N69" s="136"/>
      <c r="O69" s="136"/>
      <c r="P69" s="132"/>
      <c r="Q69" s="131">
        <f t="shared" si="10"/>
        <v>900</v>
      </c>
      <c r="R69" s="132"/>
      <c r="S69" s="131">
        <f t="shared" si="11"/>
        <v>1707</v>
      </c>
      <c r="T69" s="132"/>
      <c r="V69" s="133"/>
      <c r="W69" s="133"/>
    </row>
    <row r="70" spans="1:23" s="30" customFormat="1" ht="18.75" x14ac:dyDescent="0.3">
      <c r="A70" s="103" t="s">
        <v>78</v>
      </c>
      <c r="B70" s="134">
        <v>271.60000000000002</v>
      </c>
      <c r="C70" s="135"/>
      <c r="D70" s="131">
        <f t="shared" si="6"/>
        <v>280.2</v>
      </c>
      <c r="E70" s="136"/>
      <c r="F70" s="132"/>
      <c r="G70" s="131">
        <f t="shared" si="7"/>
        <v>551.79999999999995</v>
      </c>
      <c r="H70" s="136"/>
      <c r="I70" s="132"/>
      <c r="J70" s="131">
        <f t="shared" si="8"/>
        <v>311</v>
      </c>
      <c r="K70" s="136"/>
      <c r="L70" s="132"/>
      <c r="M70" s="131">
        <f t="shared" si="9"/>
        <v>305.2</v>
      </c>
      <c r="N70" s="136"/>
      <c r="O70" s="136"/>
      <c r="P70" s="132"/>
      <c r="Q70" s="131">
        <f t="shared" si="10"/>
        <v>616.20000000000005</v>
      </c>
      <c r="R70" s="132"/>
      <c r="S70" s="131">
        <f t="shared" si="11"/>
        <v>1168</v>
      </c>
      <c r="T70" s="132"/>
      <c r="V70" s="133"/>
      <c r="W70" s="133"/>
    </row>
    <row r="71" spans="1:23" s="30" customFormat="1" ht="18.75" x14ac:dyDescent="0.3"/>
    <row r="72" spans="1:23" s="30" customFormat="1" ht="18.75" x14ac:dyDescent="0.3">
      <c r="A72" s="30" t="s">
        <v>81</v>
      </c>
    </row>
    <row r="73" spans="1:23" s="30" customFormat="1" ht="16.149999999999999" customHeight="1" x14ac:dyDescent="0.3">
      <c r="B73" s="105" t="s">
        <v>82</v>
      </c>
    </row>
    <row r="74" spans="1:23" s="30" customFormat="1" ht="18.75" x14ac:dyDescent="0.3">
      <c r="A74" s="106"/>
    </row>
    <row r="75" spans="1:23" s="30" customFormat="1" ht="18.75" x14ac:dyDescent="0.3"/>
    <row r="76" spans="1:23" s="30" customFormat="1" ht="18.75" x14ac:dyDescent="0.3"/>
    <row r="77" spans="1:23" s="30" customFormat="1" ht="18.75" x14ac:dyDescent="0.3"/>
    <row r="78" spans="1:23" s="30" customFormat="1" ht="18.75" x14ac:dyDescent="0.3"/>
    <row r="79" spans="1:23" s="30" customFormat="1" ht="18.75" x14ac:dyDescent="0.3"/>
    <row r="80" spans="1:23" s="30" customFormat="1" ht="18.75" x14ac:dyDescent="0.3"/>
    <row r="81" s="30" customFormat="1" ht="18.75" x14ac:dyDescent="0.3"/>
    <row r="82" s="30" customFormat="1" ht="18.75" x14ac:dyDescent="0.3"/>
    <row r="83" s="30" customFormat="1" ht="18.75" x14ac:dyDescent="0.3"/>
    <row r="84" s="30" customFormat="1" ht="18.75" x14ac:dyDescent="0.3"/>
    <row r="85" s="30" customFormat="1" ht="18.75" x14ac:dyDescent="0.3"/>
    <row r="86" s="30" customFormat="1" ht="18.75" x14ac:dyDescent="0.3"/>
    <row r="87" s="30" customFormat="1" ht="18.75" x14ac:dyDescent="0.3"/>
    <row r="88" s="30" customFormat="1" ht="18.75" x14ac:dyDescent="0.3"/>
    <row r="89" s="30" customFormat="1" ht="18.75" x14ac:dyDescent="0.3"/>
    <row r="90" s="30" customFormat="1" ht="18.75" x14ac:dyDescent="0.3"/>
    <row r="91" s="30" customFormat="1" ht="18.75" x14ac:dyDescent="0.3"/>
    <row r="92" s="30" customFormat="1" ht="18.75" x14ac:dyDescent="0.3"/>
    <row r="93" s="30" customFormat="1" ht="18.75" x14ac:dyDescent="0.3"/>
    <row r="94" s="30" customFormat="1" ht="18.75" x14ac:dyDescent="0.3"/>
    <row r="95" s="30" customFormat="1" ht="18.75" x14ac:dyDescent="0.3"/>
    <row r="96" s="30" customFormat="1" ht="18.75" x14ac:dyDescent="0.3"/>
    <row r="97" s="30" customFormat="1" ht="18.75" x14ac:dyDescent="0.3"/>
    <row r="98" s="30" customFormat="1" ht="18.75" x14ac:dyDescent="0.3"/>
    <row r="99" s="27" customFormat="1" ht="18.75" x14ac:dyDescent="0.3"/>
    <row r="100" s="27" customFormat="1" ht="18.75" x14ac:dyDescent="0.3"/>
    <row r="101" s="27" customFormat="1" ht="18.75" x14ac:dyDescent="0.3"/>
    <row r="102" s="27" customFormat="1" ht="18.75" x14ac:dyDescent="0.3"/>
    <row r="103" s="27" customFormat="1" ht="18.75" x14ac:dyDescent="0.3"/>
    <row r="104" s="27" customFormat="1" ht="18.75" x14ac:dyDescent="0.3"/>
    <row r="105" s="27" customFormat="1" ht="18.75" x14ac:dyDescent="0.3"/>
    <row r="106" s="27" customFormat="1" ht="18.75" x14ac:dyDescent="0.3"/>
    <row r="107" s="27" customFormat="1" ht="18.75" x14ac:dyDescent="0.3"/>
    <row r="108" s="27" customFormat="1" ht="18.75" x14ac:dyDescent="0.3"/>
    <row r="109" s="27" customFormat="1" ht="18.75" x14ac:dyDescent="0.3"/>
    <row r="110" s="27" customFormat="1" ht="18.75" x14ac:dyDescent="0.3"/>
    <row r="111" s="27" customFormat="1" ht="18.75" x14ac:dyDescent="0.3"/>
    <row r="112" s="27" customFormat="1" ht="18.75" x14ac:dyDescent="0.3"/>
    <row r="113" s="27" customFormat="1" ht="18.75" x14ac:dyDescent="0.3"/>
    <row r="114" s="27" customFormat="1" ht="18.75" x14ac:dyDescent="0.3"/>
    <row r="115" s="27" customFormat="1" ht="18.75" x14ac:dyDescent="0.3"/>
    <row r="116" s="27" customFormat="1" ht="18.75" x14ac:dyDescent="0.3"/>
    <row r="117" s="27" customFormat="1" ht="18.75" x14ac:dyDescent="0.3"/>
    <row r="118" s="27" customFormat="1" ht="18.75" x14ac:dyDescent="0.3"/>
    <row r="119" s="27" customFormat="1" ht="18.75" x14ac:dyDescent="0.3"/>
    <row r="120" s="27" customFormat="1" ht="18.75" x14ac:dyDescent="0.3"/>
    <row r="121" s="27" customFormat="1" ht="18.75" x14ac:dyDescent="0.3"/>
    <row r="122" s="27" customFormat="1" ht="18.75" x14ac:dyDescent="0.3"/>
    <row r="123" s="27" customFormat="1" ht="18.75" x14ac:dyDescent="0.3"/>
    <row r="124" s="27" customFormat="1" ht="18.75" x14ac:dyDescent="0.3"/>
    <row r="125" s="27" customFormat="1" ht="18.75" x14ac:dyDescent="0.3"/>
    <row r="126" s="27" customFormat="1" ht="18.75" x14ac:dyDescent="0.3"/>
    <row r="127" s="27" customFormat="1" ht="18.75" x14ac:dyDescent="0.3"/>
    <row r="128" s="27" customFormat="1" ht="18.75" x14ac:dyDescent="0.3"/>
    <row r="129" s="27" customFormat="1" ht="18.75" x14ac:dyDescent="0.3"/>
    <row r="130" s="27" customFormat="1" ht="18.75" x14ac:dyDescent="0.3"/>
    <row r="131" s="27" customFormat="1" ht="18.75" x14ac:dyDescent="0.3"/>
    <row r="132" s="27" customFormat="1" ht="18.75" x14ac:dyDescent="0.3"/>
    <row r="133" s="27" customFormat="1" ht="18.75" x14ac:dyDescent="0.3"/>
    <row r="134" s="27" customFormat="1" ht="18.75" x14ac:dyDescent="0.3"/>
    <row r="135" s="27" customFormat="1" ht="18.75" x14ac:dyDescent="0.3"/>
    <row r="136" s="27" customFormat="1" ht="18.75" x14ac:dyDescent="0.3"/>
    <row r="137" s="27" customFormat="1" ht="18.75" x14ac:dyDescent="0.3"/>
    <row r="138" s="27" customFormat="1" ht="18.75" x14ac:dyDescent="0.3"/>
    <row r="139" s="27" customFormat="1" ht="18.75" x14ac:dyDescent="0.3"/>
    <row r="140" s="27" customFormat="1" ht="18.75" x14ac:dyDescent="0.3"/>
    <row r="141" s="27" customFormat="1" ht="18.75" x14ac:dyDescent="0.3"/>
    <row r="142" s="27" customFormat="1" ht="18.75" x14ac:dyDescent="0.3"/>
    <row r="143" s="27" customFormat="1" ht="18.75" x14ac:dyDescent="0.3"/>
    <row r="144" s="27" customFormat="1" ht="18.75" x14ac:dyDescent="0.3"/>
  </sheetData>
  <mergeCells count="187">
    <mergeCell ref="A1:T1"/>
    <mergeCell ref="A2:T2"/>
    <mergeCell ref="B4:T4"/>
    <mergeCell ref="B5:H5"/>
    <mergeCell ref="I5:M5"/>
    <mergeCell ref="O5:S5"/>
    <mergeCell ref="C15:F15"/>
    <mergeCell ref="G15:J15"/>
    <mergeCell ref="K15:O15"/>
    <mergeCell ref="P15:T15"/>
    <mergeCell ref="C16:F16"/>
    <mergeCell ref="G16:J16"/>
    <mergeCell ref="K16:O16"/>
    <mergeCell ref="P16:T16"/>
    <mergeCell ref="C13:F13"/>
    <mergeCell ref="G13:J13"/>
    <mergeCell ref="K13:O13"/>
    <mergeCell ref="P13:T13"/>
    <mergeCell ref="C14:F14"/>
    <mergeCell ref="G14:J14"/>
    <mergeCell ref="K14:O14"/>
    <mergeCell ref="P14:T14"/>
    <mergeCell ref="B17:T17"/>
    <mergeCell ref="C18:H18"/>
    <mergeCell ref="I18:M18"/>
    <mergeCell ref="O18:S18"/>
    <mergeCell ref="C26:F26"/>
    <mergeCell ref="G26:J26"/>
    <mergeCell ref="K26:O26"/>
    <mergeCell ref="P26:Q26"/>
    <mergeCell ref="R26:T26"/>
    <mergeCell ref="C27:F27"/>
    <mergeCell ref="G27:J27"/>
    <mergeCell ref="K27:O27"/>
    <mergeCell ref="P27:Q27"/>
    <mergeCell ref="R27:T27"/>
    <mergeCell ref="C28:F28"/>
    <mergeCell ref="G28:J28"/>
    <mergeCell ref="K28:O28"/>
    <mergeCell ref="P28:Q28"/>
    <mergeCell ref="R28:T28"/>
    <mergeCell ref="C31:H31"/>
    <mergeCell ref="I31:M31"/>
    <mergeCell ref="O31:S31"/>
    <mergeCell ref="C39:F39"/>
    <mergeCell ref="G39:J39"/>
    <mergeCell ref="K39:O39"/>
    <mergeCell ref="P39:T39"/>
    <mergeCell ref="C29:F29"/>
    <mergeCell ref="G29:J29"/>
    <mergeCell ref="K29:O29"/>
    <mergeCell ref="P29:Q29"/>
    <mergeCell ref="R29:T29"/>
    <mergeCell ref="B30:T30"/>
    <mergeCell ref="C42:F42"/>
    <mergeCell ref="G42:J42"/>
    <mergeCell ref="K42:O42"/>
    <mergeCell ref="P42:T42"/>
    <mergeCell ref="B43:T43"/>
    <mergeCell ref="C44:H44"/>
    <mergeCell ref="I44:M44"/>
    <mergeCell ref="O44:S44"/>
    <mergeCell ref="C40:F40"/>
    <mergeCell ref="G40:J40"/>
    <mergeCell ref="K40:O40"/>
    <mergeCell ref="P40:T40"/>
    <mergeCell ref="C41:F41"/>
    <mergeCell ref="G41:J41"/>
    <mergeCell ref="K41:O41"/>
    <mergeCell ref="P41:T41"/>
    <mergeCell ref="C52:F52"/>
    <mergeCell ref="G52:J52"/>
    <mergeCell ref="K52:O52"/>
    <mergeCell ref="P52:Q52"/>
    <mergeCell ref="R52:S52"/>
    <mergeCell ref="C53:F53"/>
    <mergeCell ref="G53:J53"/>
    <mergeCell ref="K53:O53"/>
    <mergeCell ref="P53:Q53"/>
    <mergeCell ref="R53:S53"/>
    <mergeCell ref="A56:T56"/>
    <mergeCell ref="C57:D57"/>
    <mergeCell ref="E57:F57"/>
    <mergeCell ref="G57:H57"/>
    <mergeCell ref="I57:J57"/>
    <mergeCell ref="K57:L57"/>
    <mergeCell ref="M57:N57"/>
    <mergeCell ref="O57:P57"/>
    <mergeCell ref="C54:F54"/>
    <mergeCell ref="G54:J54"/>
    <mergeCell ref="K54:O54"/>
    <mergeCell ref="P54:Q54"/>
    <mergeCell ref="R54:S54"/>
    <mergeCell ref="C55:F55"/>
    <mergeCell ref="G55:J55"/>
    <mergeCell ref="K55:O55"/>
    <mergeCell ref="P55:Q55"/>
    <mergeCell ref="R55:S55"/>
    <mergeCell ref="O58:P58"/>
    <mergeCell ref="C59:D59"/>
    <mergeCell ref="E59:F59"/>
    <mergeCell ref="G59:H59"/>
    <mergeCell ref="I59:J59"/>
    <mergeCell ref="K59:L59"/>
    <mergeCell ref="M59:N59"/>
    <mergeCell ref="O59:P59"/>
    <mergeCell ref="C58:D58"/>
    <mergeCell ref="E58:F58"/>
    <mergeCell ref="G58:H58"/>
    <mergeCell ref="I58:J58"/>
    <mergeCell ref="K58:L58"/>
    <mergeCell ref="M58:N58"/>
    <mergeCell ref="O60:P60"/>
    <mergeCell ref="C61:D61"/>
    <mergeCell ref="E61:F61"/>
    <mergeCell ref="G61:H61"/>
    <mergeCell ref="I61:J61"/>
    <mergeCell ref="K61:L61"/>
    <mergeCell ref="M61:N61"/>
    <mergeCell ref="O61:P61"/>
    <mergeCell ref="C60:D60"/>
    <mergeCell ref="E60:F60"/>
    <mergeCell ref="G60:H60"/>
    <mergeCell ref="I60:J60"/>
    <mergeCell ref="K60:L60"/>
    <mergeCell ref="M60:N60"/>
    <mergeCell ref="O62:P62"/>
    <mergeCell ref="C63:D63"/>
    <mergeCell ref="E63:F63"/>
    <mergeCell ref="G63:H63"/>
    <mergeCell ref="I63:J63"/>
    <mergeCell ref="K63:L63"/>
    <mergeCell ref="M63:N63"/>
    <mergeCell ref="O63:P63"/>
    <mergeCell ref="C62:D62"/>
    <mergeCell ref="E62:F62"/>
    <mergeCell ref="G62:H62"/>
    <mergeCell ref="I62:J62"/>
    <mergeCell ref="K62:L62"/>
    <mergeCell ref="M62:N62"/>
    <mergeCell ref="S65:T65"/>
    <mergeCell ref="B66:C66"/>
    <mergeCell ref="D66:F66"/>
    <mergeCell ref="G66:I66"/>
    <mergeCell ref="J66:L66"/>
    <mergeCell ref="M66:P66"/>
    <mergeCell ref="Q66:R66"/>
    <mergeCell ref="S66:T66"/>
    <mergeCell ref="B65:C65"/>
    <mergeCell ref="D65:F65"/>
    <mergeCell ref="G65:I65"/>
    <mergeCell ref="J65:L65"/>
    <mergeCell ref="M65:P65"/>
    <mergeCell ref="Q65:R65"/>
    <mergeCell ref="V66:W66"/>
    <mergeCell ref="B67:C67"/>
    <mergeCell ref="D67:F67"/>
    <mergeCell ref="G67:I67"/>
    <mergeCell ref="J67:L67"/>
    <mergeCell ref="M67:P67"/>
    <mergeCell ref="Q67:R67"/>
    <mergeCell ref="S67:T67"/>
    <mergeCell ref="V67:W67"/>
    <mergeCell ref="S70:T70"/>
    <mergeCell ref="V70:W70"/>
    <mergeCell ref="B70:C70"/>
    <mergeCell ref="D70:F70"/>
    <mergeCell ref="G70:I70"/>
    <mergeCell ref="J70:L70"/>
    <mergeCell ref="M70:P70"/>
    <mergeCell ref="Q70:R70"/>
    <mergeCell ref="S68:T68"/>
    <mergeCell ref="V68:W68"/>
    <mergeCell ref="B69:C69"/>
    <mergeCell ref="D69:F69"/>
    <mergeCell ref="G69:I69"/>
    <mergeCell ref="J69:L69"/>
    <mergeCell ref="M69:P69"/>
    <mergeCell ref="Q69:R69"/>
    <mergeCell ref="S69:T69"/>
    <mergeCell ref="V69:W69"/>
    <mergeCell ref="B68:C68"/>
    <mergeCell ref="D68:F68"/>
    <mergeCell ref="G68:I68"/>
    <mergeCell ref="J68:L68"/>
    <mergeCell ref="M68:P68"/>
    <mergeCell ref="Q68:R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26"/>
  <sheetViews>
    <sheetView workbookViewId="0">
      <selection activeCell="G32" sqref="G32"/>
    </sheetView>
  </sheetViews>
  <sheetFormatPr defaultRowHeight="15" x14ac:dyDescent="0.25"/>
  <cols>
    <col min="1" max="1" width="12.42578125" bestFit="1" customWidth="1"/>
  </cols>
  <sheetData>
    <row r="2" spans="1:1" x14ac:dyDescent="0.25">
      <c r="A2" t="s">
        <v>7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13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21" spans="1:2" x14ac:dyDescent="0.25">
      <c r="A21" s="119"/>
      <c r="B21" s="119"/>
    </row>
    <row r="22" spans="1:2" x14ac:dyDescent="0.25">
      <c r="A22" s="119"/>
      <c r="B22" s="119"/>
    </row>
    <row r="23" spans="1:2" x14ac:dyDescent="0.25">
      <c r="A23" s="119"/>
      <c r="B23" s="119"/>
    </row>
    <row r="24" spans="1:2" x14ac:dyDescent="0.25">
      <c r="A24" s="119"/>
      <c r="B24" s="119"/>
    </row>
    <row r="25" spans="1:2" x14ac:dyDescent="0.25">
      <c r="A25" s="119"/>
      <c r="B25" s="119"/>
    </row>
    <row r="26" spans="1:2" x14ac:dyDescent="0.25">
      <c r="A26" s="119"/>
      <c r="B26" s="11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8" sqref="E18"/>
    </sheetView>
  </sheetViews>
  <sheetFormatPr defaultRowHeight="15" x14ac:dyDescent="0.25"/>
  <cols>
    <col min="1" max="1" width="12.42578125" bestFit="1" customWidth="1"/>
    <col min="3" max="3" width="12.85546875" style="121" customWidth="1"/>
    <col min="4" max="4" width="13.85546875" style="121" customWidth="1"/>
    <col min="5" max="5" width="15" customWidth="1"/>
    <col min="6" max="6" width="9.140625" customWidth="1"/>
  </cols>
  <sheetData>
    <row r="1" spans="1:10" s="15" customFormat="1" x14ac:dyDescent="0.25">
      <c r="A1" s="15">
        <v>1</v>
      </c>
      <c r="B1" s="15">
        <f>A1+1</f>
        <v>2</v>
      </c>
      <c r="C1" s="15">
        <f t="shared" ref="C1:D1" si="0">B1+1</f>
        <v>3</v>
      </c>
      <c r="D1" s="15">
        <f t="shared" si="0"/>
        <v>4</v>
      </c>
    </row>
    <row r="2" spans="1:10" x14ac:dyDescent="0.25">
      <c r="B2" s="122" t="s">
        <v>101</v>
      </c>
      <c r="C2" s="123"/>
      <c r="D2" s="123"/>
      <c r="E2" s="122"/>
      <c r="F2" s="122"/>
      <c r="G2" s="122"/>
      <c r="H2" s="122"/>
      <c r="I2" s="122"/>
      <c r="J2" s="122"/>
    </row>
    <row r="3" spans="1:10" x14ac:dyDescent="0.25">
      <c r="A3" s="10">
        <v>7</v>
      </c>
      <c r="B3" s="8" t="s">
        <v>5</v>
      </c>
    </row>
    <row r="4" spans="1:10" x14ac:dyDescent="0.25">
      <c r="A4" s="10">
        <v>1</v>
      </c>
      <c r="B4" s="8" t="s">
        <v>11</v>
      </c>
    </row>
    <row r="6" spans="1:10" s="120" customFormat="1" ht="60" x14ac:dyDescent="0.25">
      <c r="A6" s="120" t="s">
        <v>0</v>
      </c>
      <c r="B6" s="120" t="s">
        <v>99</v>
      </c>
      <c r="C6" s="4" t="s">
        <v>91</v>
      </c>
      <c r="D6" s="4" t="s">
        <v>92</v>
      </c>
      <c r="E6" s="120" t="s">
        <v>117</v>
      </c>
    </row>
    <row r="7" spans="1:10" s="120" customFormat="1" x14ac:dyDescent="0.25">
      <c r="A7" s="119" t="s">
        <v>106</v>
      </c>
      <c r="B7" s="119" t="s">
        <v>102</v>
      </c>
      <c r="C7" s="121">
        <v>45512</v>
      </c>
      <c r="D7" s="121">
        <v>73415</v>
      </c>
      <c r="E7" s="120" t="s">
        <v>112</v>
      </c>
    </row>
    <row r="8" spans="1:10" x14ac:dyDescent="0.25">
      <c r="A8" s="119" t="s">
        <v>1</v>
      </c>
      <c r="B8" s="119" t="s">
        <v>102</v>
      </c>
      <c r="C8" s="121">
        <v>45292</v>
      </c>
      <c r="D8" s="121">
        <v>73415</v>
      </c>
      <c r="E8" s="120" t="s">
        <v>112</v>
      </c>
    </row>
    <row r="9" spans="1:10" x14ac:dyDescent="0.25">
      <c r="A9" s="119" t="s">
        <v>108</v>
      </c>
      <c r="B9" s="119" t="s">
        <v>102</v>
      </c>
      <c r="C9" s="121">
        <v>45587</v>
      </c>
      <c r="D9" s="121">
        <v>73415</v>
      </c>
      <c r="E9" s="120" t="s">
        <v>114</v>
      </c>
    </row>
    <row r="10" spans="1:10" x14ac:dyDescent="0.25">
      <c r="A10" s="119" t="s">
        <v>118</v>
      </c>
      <c r="B10" s="119" t="s">
        <v>102</v>
      </c>
      <c r="C10" s="121">
        <v>45764</v>
      </c>
      <c r="D10" s="121">
        <v>73415</v>
      </c>
      <c r="E10" s="120" t="s">
        <v>112</v>
      </c>
    </row>
    <row r="11" spans="1:10" x14ac:dyDescent="0.25">
      <c r="A11" s="119" t="s">
        <v>98</v>
      </c>
      <c r="B11" s="119" t="s">
        <v>102</v>
      </c>
      <c r="C11" s="121">
        <v>45511</v>
      </c>
      <c r="D11" s="121">
        <v>73415</v>
      </c>
      <c r="E11" s="120" t="s">
        <v>112</v>
      </c>
    </row>
    <row r="12" spans="1:10" x14ac:dyDescent="0.25">
      <c r="A12" s="119" t="s">
        <v>93</v>
      </c>
      <c r="B12" s="119" t="s">
        <v>102</v>
      </c>
      <c r="C12" s="121">
        <v>45292</v>
      </c>
      <c r="D12" s="121">
        <v>73415</v>
      </c>
      <c r="E12" s="120" t="s">
        <v>112</v>
      </c>
    </row>
    <row r="13" spans="1:10" x14ac:dyDescent="0.25">
      <c r="A13" s="119" t="s">
        <v>86</v>
      </c>
      <c r="B13" s="119" t="s">
        <v>102</v>
      </c>
      <c r="C13" s="121">
        <v>45292</v>
      </c>
      <c r="D13" s="121">
        <v>73415</v>
      </c>
      <c r="E13" s="120" t="s">
        <v>112</v>
      </c>
    </row>
    <row r="14" spans="1:10" x14ac:dyDescent="0.25">
      <c r="A14" s="119" t="s">
        <v>110</v>
      </c>
      <c r="B14" s="119" t="s">
        <v>102</v>
      </c>
      <c r="C14" s="121">
        <v>45652</v>
      </c>
      <c r="D14" s="121">
        <v>73415</v>
      </c>
      <c r="E14" s="120" t="s">
        <v>114</v>
      </c>
    </row>
    <row r="15" spans="1:10" x14ac:dyDescent="0.25">
      <c r="A15" s="119" t="s">
        <v>88</v>
      </c>
      <c r="B15" s="119" t="s">
        <v>103</v>
      </c>
      <c r="C15" s="121">
        <v>45292</v>
      </c>
      <c r="D15" s="121">
        <v>73415</v>
      </c>
      <c r="E15" s="120" t="s">
        <v>113</v>
      </c>
    </row>
    <row r="16" spans="1:10" x14ac:dyDescent="0.25">
      <c r="A16" s="119" t="s">
        <v>89</v>
      </c>
      <c r="B16" s="119" t="s">
        <v>103</v>
      </c>
      <c r="C16" s="121">
        <v>45292</v>
      </c>
      <c r="D16" s="121">
        <v>73415</v>
      </c>
      <c r="E16" s="120" t="s">
        <v>113</v>
      </c>
    </row>
    <row r="17" spans="1:5" x14ac:dyDescent="0.25">
      <c r="A17" s="119" t="s">
        <v>87</v>
      </c>
      <c r="B17" s="119" t="s">
        <v>103</v>
      </c>
      <c r="C17" s="121">
        <v>45292</v>
      </c>
      <c r="D17" s="121">
        <v>73415</v>
      </c>
      <c r="E17" s="120" t="s">
        <v>113</v>
      </c>
    </row>
    <row r="18" spans="1:5" x14ac:dyDescent="0.25">
      <c r="A18" s="119" t="s">
        <v>119</v>
      </c>
      <c r="B18" s="119" t="s">
        <v>103</v>
      </c>
      <c r="C18" s="121">
        <v>45764</v>
      </c>
      <c r="D18" s="121">
        <v>73415</v>
      </c>
      <c r="E18" s="120" t="s">
        <v>115</v>
      </c>
    </row>
    <row r="19" spans="1:5" x14ac:dyDescent="0.25">
      <c r="A19" s="119" t="s">
        <v>2</v>
      </c>
      <c r="B19" s="119" t="s">
        <v>103</v>
      </c>
      <c r="C19" s="121">
        <v>45292</v>
      </c>
      <c r="D19" s="121">
        <v>73415</v>
      </c>
      <c r="E19" s="120" t="s">
        <v>113</v>
      </c>
    </row>
    <row r="20" spans="1:5" x14ac:dyDescent="0.25">
      <c r="A20" s="119" t="s">
        <v>109</v>
      </c>
      <c r="B20" s="119" t="s">
        <v>103</v>
      </c>
      <c r="C20" s="121">
        <v>45587</v>
      </c>
      <c r="D20" s="121">
        <v>73415</v>
      </c>
      <c r="E20" s="120" t="s">
        <v>115</v>
      </c>
    </row>
    <row r="21" spans="1:5" x14ac:dyDescent="0.25">
      <c r="A21" s="119" t="s">
        <v>95</v>
      </c>
      <c r="B21" s="119" t="s">
        <v>104</v>
      </c>
      <c r="C21" s="121">
        <v>45505</v>
      </c>
      <c r="D21" s="121">
        <v>73415</v>
      </c>
      <c r="E21" s="120" t="s">
        <v>116</v>
      </c>
    </row>
    <row r="22" spans="1:5" x14ac:dyDescent="0.25">
      <c r="A22" s="119" t="s">
        <v>3</v>
      </c>
      <c r="B22" s="119" t="s">
        <v>104</v>
      </c>
      <c r="C22" s="121">
        <v>45292</v>
      </c>
      <c r="D22" s="121">
        <v>73415</v>
      </c>
      <c r="E22" s="120" t="s">
        <v>116</v>
      </c>
    </row>
    <row r="23" spans="1:5" x14ac:dyDescent="0.25">
      <c r="A23" s="119" t="s">
        <v>94</v>
      </c>
      <c r="B23" s="119" t="s">
        <v>104</v>
      </c>
      <c r="C23" s="121">
        <v>45505</v>
      </c>
      <c r="D23" s="121">
        <v>73415</v>
      </c>
      <c r="E23" s="120" t="s">
        <v>116</v>
      </c>
    </row>
    <row r="24" spans="1:5" x14ac:dyDescent="0.25">
      <c r="A24" s="119" t="s">
        <v>90</v>
      </c>
      <c r="B24" s="119" t="s">
        <v>104</v>
      </c>
      <c r="C24" s="121">
        <v>45292</v>
      </c>
      <c r="D24" s="121">
        <v>73415</v>
      </c>
      <c r="E24" s="120" t="s">
        <v>116</v>
      </c>
    </row>
    <row r="25" spans="1:5" x14ac:dyDescent="0.25">
      <c r="A25" s="119" t="s">
        <v>96</v>
      </c>
      <c r="B25" s="119" t="s">
        <v>104</v>
      </c>
      <c r="C25" s="121">
        <v>45510</v>
      </c>
      <c r="D25" s="121">
        <v>73415</v>
      </c>
      <c r="E25" s="120" t="s">
        <v>116</v>
      </c>
    </row>
    <row r="26" spans="1:5" x14ac:dyDescent="0.25">
      <c r="A26" s="119" t="s">
        <v>97</v>
      </c>
      <c r="B26" s="119" t="s">
        <v>104</v>
      </c>
      <c r="C26" s="121">
        <v>45510</v>
      </c>
      <c r="D26" s="121">
        <v>73415</v>
      </c>
      <c r="E26" s="120" t="s">
        <v>116</v>
      </c>
    </row>
    <row r="27" spans="1:5" x14ac:dyDescent="0.25">
      <c r="A27" s="119" t="s">
        <v>111</v>
      </c>
      <c r="B27" s="119" t="s">
        <v>104</v>
      </c>
      <c r="C27" s="121">
        <v>45694</v>
      </c>
      <c r="D27" s="121">
        <v>73415</v>
      </c>
      <c r="E27" s="120" t="s">
        <v>116</v>
      </c>
    </row>
    <row r="28" spans="1:5" x14ac:dyDescent="0.25">
      <c r="A28" s="119" t="s">
        <v>100</v>
      </c>
      <c r="B28" s="119" t="s">
        <v>105</v>
      </c>
      <c r="C28" s="121">
        <v>45511</v>
      </c>
      <c r="D28" s="121">
        <v>73415</v>
      </c>
    </row>
    <row r="29" spans="1:5" x14ac:dyDescent="0.25">
      <c r="A29" s="119" t="s">
        <v>107</v>
      </c>
      <c r="B29" s="119" t="s">
        <v>105</v>
      </c>
      <c r="C29" s="121">
        <v>45551</v>
      </c>
      <c r="D29" s="121">
        <v>73415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ф.сч.пр.</vt:lpstr>
      <vt:lpstr>3 ф.сч.пр.</vt:lpstr>
      <vt:lpstr>3 ф.сч.тр.</vt:lpstr>
      <vt:lpstr>Календарь</vt:lpstr>
      <vt:lpstr>Списки</vt:lpstr>
      <vt:lpstr>Вид изделия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2025-07-09T05:20:09Z</dcterms:modified>
</cp:coreProperties>
</file>