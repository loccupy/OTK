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rogramm\gurux_otk_work\1userData\data\"/>
    </mc:Choice>
  </mc:AlternateContent>
  <xr:revisionPtr revIDLastSave="0" documentId="13_ncr:1_{335C2174-DC26-430D-B58A-3C27C1304E09}" xr6:coauthVersionLast="45" xr6:coauthVersionMax="45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Product" sheetId="10" r:id="rId1"/>
    <sheet name="Employeers" sheetId="12" r:id="rId2"/>
    <sheet name="Описание изделий_210224" sheetId="4" state="hidden" r:id="rId3"/>
    <sheet name="Product0_исх" sheetId="11" state="hidden" r:id="rId4"/>
    <sheet name="Product281123_исх" sheetId="9" state="hidden" r:id="rId5"/>
    <sheet name="Product260224_исх" sheetId="6" state="hidden" r:id="rId6"/>
  </sheets>
  <definedNames>
    <definedName name="_xlnm._FilterDatabase" localSheetId="0" hidden="1">Product!$C$8:$F$108</definedName>
    <definedName name="_xlnm._FilterDatabase" localSheetId="3" hidden="1">Product0_исх!$A$3:$R$68</definedName>
    <definedName name="_xlnm._FilterDatabase" localSheetId="5" hidden="1">Product260224_исх!$A$3:$R$115</definedName>
    <definedName name="_xlnm._FilterDatabase" localSheetId="4" hidden="1">Product281123_исх!$A$3:$R$68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12" l="1"/>
  <c r="D1" i="12" s="1"/>
  <c r="E1" i="12" s="1"/>
  <c r="F1" i="12" s="1"/>
  <c r="B1" i="12"/>
  <c r="L5" i="9" l="1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4" i="9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28" i="6"/>
  <c r="L27" i="6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B2" i="11"/>
  <c r="C2" i="11" s="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D1" i="10"/>
  <c r="E1" i="10" s="1"/>
  <c r="F1" i="10" s="1"/>
  <c r="B2" i="9" l="1"/>
  <c r="C2" i="9" s="1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B2" i="6"/>
  <c r="C2" i="6" s="1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9" l="1"/>
  <c r="Q2" i="9" s="1"/>
  <c r="R2" i="9" s="1"/>
  <c r="S2" i="9" s="1"/>
  <c r="P2" i="6"/>
  <c r="Q2" i="6" s="1"/>
  <c r="R2" i="6" s="1"/>
  <c r="S2" i="6" s="1"/>
</calcChain>
</file>

<file path=xl/sharedStrings.xml><?xml version="1.0" encoding="utf-8"?>
<sst xmlns="http://schemas.openxmlformats.org/spreadsheetml/2006/main" count="3015" uniqueCount="459">
  <si>
    <t>Примечание</t>
  </si>
  <si>
    <t>0000</t>
  </si>
  <si>
    <t>i-prom.1-2-1/2-M-R-Y-Y</t>
  </si>
  <si>
    <t>0001</t>
  </si>
  <si>
    <t>i-prom.1-2-1/2-S-R-Y-Y</t>
  </si>
  <si>
    <t>0002</t>
  </si>
  <si>
    <t>i-prom.1-2-1/2-S-RW-Y-Y</t>
  </si>
  <si>
    <t>0003</t>
  </si>
  <si>
    <t>i-prom.1-2-1/2-S-RE-Y-Y</t>
  </si>
  <si>
    <t>0004</t>
  </si>
  <si>
    <t>i-prom.1-2-1/2-S-RF-Y-Y</t>
  </si>
  <si>
    <t>0005</t>
  </si>
  <si>
    <t>i-prom.1-2-1/2-S-RL-Y-Y</t>
  </si>
  <si>
    <t>0006</t>
  </si>
  <si>
    <t>i-prom.1-2-1/2-S-RG-Y-Y</t>
  </si>
  <si>
    <t>0007</t>
  </si>
  <si>
    <t>i-prom.1-2-1/2-S-RP-Y-Y</t>
  </si>
  <si>
    <t>0008</t>
  </si>
  <si>
    <t>i-prom.1-3-1/2-M-R-Y-Y</t>
  </si>
  <si>
    <t xml:space="preserve">в данный момент производим такой </t>
  </si>
  <si>
    <t>МКД_1ф</t>
  </si>
  <si>
    <t>0009</t>
  </si>
  <si>
    <t>i-prom.1-3-1/2-S-R-Y-Y</t>
  </si>
  <si>
    <t>планируемое производство</t>
  </si>
  <si>
    <t>СПЛИТ_1ф</t>
  </si>
  <si>
    <t>0010</t>
  </si>
  <si>
    <t>i-prom.1-3-1/2-S-RW-Y-Y</t>
  </si>
  <si>
    <t>0011</t>
  </si>
  <si>
    <t>i-prom.1-3-1/2-S-RE-Y-Y</t>
  </si>
  <si>
    <t>0012</t>
  </si>
  <si>
    <t>i-prom.1-3-1/2-S-RF-Y-Y</t>
  </si>
  <si>
    <t>0013</t>
  </si>
  <si>
    <t>i-prom.1-3-1/2-S-RL-Y-Y</t>
  </si>
  <si>
    <t>0014</t>
  </si>
  <si>
    <t>i-prom.1-3-1/2-S-RG-Y-Y</t>
  </si>
  <si>
    <t>0015</t>
  </si>
  <si>
    <t>i-prom.1-3-1/2-S-RP-Y-Y</t>
  </si>
  <si>
    <t>0100</t>
  </si>
  <si>
    <t>СПЛИТ_3ф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</si>
  <si>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</si>
  <si>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</si>
  <si>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</si>
  <si>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</si>
  <si>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</si>
  <si>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</si>
  <si>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</si>
  <si>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</si>
  <si>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</si>
  <si>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</si>
  <si>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</si>
  <si>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</si>
  <si>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</si>
  <si>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</si>
  <si>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Моноблок_3ф</t>
  </si>
  <si>
    <t>0200</t>
  </si>
  <si>
    <t>0201</t>
  </si>
  <si>
    <t>0202</t>
  </si>
  <si>
    <t>0203</t>
  </si>
  <si>
    <t>Моноблок_3фТ_Трансформаторного включения</t>
  </si>
  <si>
    <t>1000</t>
  </si>
  <si>
    <t>1001</t>
  </si>
  <si>
    <t>1002</t>
  </si>
  <si>
    <t>1003</t>
  </si>
  <si>
    <t>1004</t>
  </si>
  <si>
    <t>МС_МКД_1ф</t>
  </si>
  <si>
    <t>1005</t>
  </si>
  <si>
    <t>1006</t>
  </si>
  <si>
    <t>1007</t>
  </si>
  <si>
    <t>1008</t>
  </si>
  <si>
    <t>MC.3-P-W</t>
  </si>
  <si>
    <t>1009</t>
  </si>
  <si>
    <t>MC.3-P-E</t>
  </si>
  <si>
    <t>1010</t>
  </si>
  <si>
    <t>MC.3-P-F</t>
  </si>
  <si>
    <t>1011</t>
  </si>
  <si>
    <t>MC.3-P-L</t>
  </si>
  <si>
    <t>1012</t>
  </si>
  <si>
    <t>MC.3-P-G</t>
  </si>
  <si>
    <t>МС_Моноблок_3ф</t>
  </si>
  <si>
    <t>1013</t>
  </si>
  <si>
    <t>MC.3-P-P</t>
  </si>
  <si>
    <t>1014</t>
  </si>
  <si>
    <t>MC.3-P-Z</t>
  </si>
  <si>
    <t>1015</t>
  </si>
  <si>
    <t>MC.3-P-M</t>
  </si>
  <si>
    <t>1016</t>
  </si>
  <si>
    <t>МС_Моноблок_3фТ</t>
  </si>
  <si>
    <t>1017</t>
  </si>
  <si>
    <t>e-SIM на 1ф</t>
  </si>
  <si>
    <t>МС_МКД_1ф_e-sim</t>
  </si>
  <si>
    <t>1018</t>
  </si>
  <si>
    <t>MC.1-S-G</t>
  </si>
  <si>
    <t>МС_СПЛИТ_1ф</t>
  </si>
  <si>
    <t>1019</t>
  </si>
  <si>
    <t>MC.3-S-G</t>
  </si>
  <si>
    <t>МС_СПЛИТ_3ф</t>
  </si>
  <si>
    <t>1020</t>
  </si>
  <si>
    <t>MC.3-P-G1</t>
  </si>
  <si>
    <t>e-SIM на 3ф</t>
  </si>
  <si>
    <t>МС_Моноблок_3ф_e-sim</t>
  </si>
  <si>
    <t>0500</t>
  </si>
  <si>
    <t>i-prom.1-C</t>
  </si>
  <si>
    <t>0501</t>
  </si>
  <si>
    <t>5000</t>
  </si>
  <si>
    <t>с-prom-1-1-1-1-W-N-P-R</t>
  </si>
  <si>
    <t>5001</t>
  </si>
  <si>
    <t>c-prom-1-1-1-1-R-N-P-R</t>
  </si>
  <si>
    <t>5010</t>
  </si>
  <si>
    <t>Док станция для программирования контроллеров с-prom</t>
  </si>
  <si>
    <t>6000</t>
  </si>
  <si>
    <t>g-prom-старый</t>
  </si>
  <si>
    <t>не выпускается</t>
  </si>
  <si>
    <t>6001</t>
  </si>
  <si>
    <t>g-prom-2,5</t>
  </si>
  <si>
    <t>6002</t>
  </si>
  <si>
    <t>g-prom-4,0</t>
  </si>
  <si>
    <t>6003</t>
  </si>
  <si>
    <t>g-prom-6,0</t>
  </si>
  <si>
    <t>счетчик э/э</t>
  </si>
  <si>
    <t>Док станция</t>
  </si>
  <si>
    <t>счетчик газа?</t>
  </si>
  <si>
    <t>модуль связи</t>
  </si>
  <si>
    <t>i-prom.3-3-1-1/2-S-R-Y-N</t>
  </si>
  <si>
    <t>i-prom.3-3-1-1/2-S-RW-Y-Y</t>
  </si>
  <si>
    <t>i-prom.3-3-1-1/2-S-RE-Y-Y</t>
  </si>
  <si>
    <t>i-prom.3-3-1-1/2-S-RF-Y-Y</t>
  </si>
  <si>
    <t>i-prom.3-3-1-1/2-S-RL-Y-Y</t>
  </si>
  <si>
    <t>i-prom.3-3-1-1/2-S-RG-Y-Y</t>
  </si>
  <si>
    <t>i-prom.3-3-1-1/2-S-RP-Y-Y</t>
  </si>
  <si>
    <t>i-prom.3-3-1-1/2-S-RW-Y-N</t>
  </si>
  <si>
    <t>i-prom.3-3-1-1/2-S-RE-Y-N</t>
  </si>
  <si>
    <t>i-prom.3-3-1-1/2-S-RF-Y-N</t>
  </si>
  <si>
    <t>i-prom.3-3-1-1/2-S-RL-Y-N</t>
  </si>
  <si>
    <t>i-prom.3-3-1-1/2-S-RG-Y-N</t>
  </si>
  <si>
    <t>i-prom.3-3-1-1/2-S-RP-Y-N</t>
  </si>
  <si>
    <t>i-prom.3-3-1-1/2-P-R-Y-Y</t>
  </si>
  <si>
    <t>i-prom.3-3-1-1/2-P-R-Y-N</t>
  </si>
  <si>
    <t>i-prom.3-1-1/2-S-R-Y-N</t>
  </si>
  <si>
    <t>i-prom.3-1-1/2-S-RW-Y-Y</t>
  </si>
  <si>
    <t>i-prom.3-1-1/2-S-RE-Y-Y</t>
  </si>
  <si>
    <t>i-prom.3-1-1/2-S-RF-Y-Y</t>
  </si>
  <si>
    <t>i-prom.3-1-1/2-S-RL-Y-Y</t>
  </si>
  <si>
    <t>i-prom.3-1-1/2-S-RG-Y-Y</t>
  </si>
  <si>
    <t>i-prom.3-1-1/2-S-RP-Y-Y</t>
  </si>
  <si>
    <t>i-prom.3-1-1/2-S-RW-Y-N</t>
  </si>
  <si>
    <t>i-prom.3-1-1/2-S-RE-Y-N</t>
  </si>
  <si>
    <t>i-prom.3-1-1/2-S-RF-Y-N</t>
  </si>
  <si>
    <t>i-prom.3-1-1/2-S-RL-Y-N</t>
  </si>
  <si>
    <t>i-prom.3-1-1/2-S-RG-Y-N</t>
  </si>
  <si>
    <t>i-prom.3-1-1/2-S-RP-Y-N</t>
  </si>
  <si>
    <t>i-prom.3-1-1/2-P-R-Y-Y</t>
  </si>
  <si>
    <t>i-prom.3-1-1/2-P-R-Y-N</t>
  </si>
  <si>
    <t>i-prom.3-C</t>
  </si>
  <si>
    <t>i-prom.1</t>
  </si>
  <si>
    <t>i-prom.3</t>
  </si>
  <si>
    <t>i-prom.3T</t>
  </si>
  <si>
    <t>MC.3T</t>
  </si>
  <si>
    <t>MC.1</t>
  </si>
  <si>
    <t>MC.3</t>
  </si>
  <si>
    <t>MC.1E</t>
  </si>
  <si>
    <t>MC.3E</t>
  </si>
  <si>
    <t>MC.1S</t>
  </si>
  <si>
    <t>MC.3S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</si>
  <si>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</si>
  <si>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</si>
  <si>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</si>
  <si>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</si>
  <si>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</si>
  <si>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</si>
  <si>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</si>
  <si>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</si>
  <si>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</si>
  <si>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</si>
  <si>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</si>
  <si>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</si>
  <si>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</si>
  <si>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</si>
  <si>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</si>
  <si>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</si>
  <si>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</si>
  <si>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</si>
  <si>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</si>
  <si>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</si>
  <si>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</si>
  <si>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</si>
  <si>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</si>
  <si>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</si>
  <si>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</si>
  <si>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</si>
  <si>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</si>
  <si>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</si>
  <si>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</si>
  <si>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</si>
  <si>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</si>
  <si>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</si>
  <si>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</si>
  <si>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</si>
  <si>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</si>
  <si>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</si>
  <si>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</si>
  <si>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</si>
  <si>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0115</t>
  </si>
  <si>
    <t>0116</t>
  </si>
  <si>
    <t>0117</t>
  </si>
  <si>
    <t>0204</t>
  </si>
  <si>
    <t>0205</t>
  </si>
  <si>
    <t>0206</t>
  </si>
  <si>
    <t>0207</t>
  </si>
  <si>
    <t>0208</t>
  </si>
  <si>
    <t>0209</t>
  </si>
  <si>
    <t>i-prom.1-1-1/2-M-R-Y-Y</t>
  </si>
  <si>
    <t>i-prom.1-1-1/2-M-RW-Y-Y</t>
  </si>
  <si>
    <t>i-prom.1-1-1/2-M-RE-Y-Y</t>
  </si>
  <si>
    <t>i-prom.1-1-1/2-M-RF-Y-Y</t>
  </si>
  <si>
    <t>i-prom.1-1-1/2-M-RL-Y-Y</t>
  </si>
  <si>
    <t>i-prom.1-1-1/2-M-RG-Y-Y</t>
  </si>
  <si>
    <t>i-prom.1-1-1/2-M-RP-Y-Y</t>
  </si>
  <si>
    <t>i-prom.1-1-1/2-M-RZ-Y-Y</t>
  </si>
  <si>
    <t>i-prom.1-1-1/2-M-RM-Y-Y</t>
  </si>
  <si>
    <t>i-prom.1-1-1/2-S-R-Y-Y</t>
  </si>
  <si>
    <t>i-prom.1-1-1/2-S-RW-Y-Y</t>
  </si>
  <si>
    <t>i-prom.1-1-1/2-S-RE-Y-Y</t>
  </si>
  <si>
    <t>i-prom.1-1-1/2-S-RF-Y-Y</t>
  </si>
  <si>
    <t>i-prom.1-1-1/2-S-RL-Y-Y</t>
  </si>
  <si>
    <t>i-prom.1-1-1/2-S-RG-Y-Y</t>
  </si>
  <si>
    <t>i-prom.1-1-1/2-S-RP-Y-Y</t>
  </si>
  <si>
    <t>i-prom.1-2-1/2-M-RW-Y-Y</t>
  </si>
  <si>
    <t>i-prom.1-2-1/2-M-RE-Y-Y</t>
  </si>
  <si>
    <t>i-prom.1-2-1/2-M-RF-Y-Y</t>
  </si>
  <si>
    <t>i-prom.1-2-1/2-M-RL-Y-Y</t>
  </si>
  <si>
    <t>i-prom.1-2-1/2-M-RG-Y-Y</t>
  </si>
  <si>
    <t>i-prom.1-2-1/2-M-RP-Y-Y</t>
  </si>
  <si>
    <t>i-prom.1-2-1/2-M-RZ-Y-Y</t>
  </si>
  <si>
    <t>i-prom.1-2-1/2-M-RM-Y-Y</t>
  </si>
  <si>
    <t>i-prom.1-3-1/2-M-RW-Y-Y</t>
  </si>
  <si>
    <t>i-prom.1-3-1/2-M-RE-Y-Y</t>
  </si>
  <si>
    <t>i-prom.1-3-1/2-M-RF-Y-Y</t>
  </si>
  <si>
    <t>i-prom.1-3-1/2-M-RL-Y-Y</t>
  </si>
  <si>
    <t>i-prom.1-3-1/2-M-RG-Y-Y</t>
  </si>
  <si>
    <t>i-prom.1-3-1/2-M-RP-Y-Y</t>
  </si>
  <si>
    <t>i-prom.1-3-1/2-M-RZ-Y-Y</t>
  </si>
  <si>
    <t>i-prom.1-3-1/2-M-RM-Y-Y</t>
  </si>
  <si>
    <t>i-prom.3-3-1-1/2-P-RE-Y-N</t>
  </si>
  <si>
    <t>i-prom.3-3-1-1/2-P-RF-Y-N</t>
  </si>
  <si>
    <t>i-prom.3-3-1-1/2-P-RL-Y-N</t>
  </si>
  <si>
    <t>i-prom.3-3-1-1/2-P-RG-Y-N</t>
  </si>
  <si>
    <t>i-prom.3-3-1-1/2-P-RP-Y-N</t>
  </si>
  <si>
    <t>i-prom.3-3-1-1/2-P-RZ-Y-N</t>
  </si>
  <si>
    <t>i-prom.3-3-1-1/2-P-RM-Y-N</t>
  </si>
  <si>
    <t>i-prom.3-3-1-1/2-S-RZ-Y-N</t>
  </si>
  <si>
    <t>i-prom.3-3-1-1/2-S-RM-Y-N</t>
  </si>
  <si>
    <t>i-prom.3-3T-2-0,5S/1-P-RE-N-N</t>
  </si>
  <si>
    <t>i-prom.3-3T-2-0,5S/1-P-RF-N-N</t>
  </si>
  <si>
    <t>i-prom.3-3T-2-0,5S/1-P-RL-N-N</t>
  </si>
  <si>
    <t>i-prom.3-3T-2-0,5S/1-P-RG-N-N</t>
  </si>
  <si>
    <t>i-prom.3-3T-2-0,5S/1-P-RP-N-N</t>
  </si>
  <si>
    <t>i-prom.3-3T-2-0,5S/1-P-RZ-N-N</t>
  </si>
  <si>
    <t>i-prom.3-3T-2-0,5S/1-P-RM-N-N</t>
  </si>
  <si>
    <t>МКД_1ф 100A без модуля связи</t>
  </si>
  <si>
    <t>МКД_1ф 100A c модулем связи GSM</t>
  </si>
  <si>
    <t>SPLIT_1ф 100A без модуля связи</t>
  </si>
  <si>
    <t>SPLIT_1ф 100A c модулем связи GSM</t>
  </si>
  <si>
    <t>МКД_1ф 60A без модуля связи</t>
  </si>
  <si>
    <t>МКД_1ф 60A c модулем связи GSM</t>
  </si>
  <si>
    <t>SPLIT_1ф 60A без модуля связи</t>
  </si>
  <si>
    <t>SPLIT_1ф 60A c модулем связи GSM</t>
  </si>
  <si>
    <t>МКД_1ф 80A без модуля связи</t>
  </si>
  <si>
    <t>МКД_1ф 80A c модулем связи GSM</t>
  </si>
  <si>
    <t>SPLIT_1ф 80A без модуля связи</t>
  </si>
  <si>
    <t>SPLIT_1ф 80A c модулем связи GSM</t>
  </si>
  <si>
    <t>Моноблок_3ф 100A без модуля связи</t>
  </si>
  <si>
    <t>Моноблок_3ф 100A c модулем связи GSM</t>
  </si>
  <si>
    <t>SPLIT_3ф 100A без модуля связи</t>
  </si>
  <si>
    <t>SPLIT_3ф 100A c модулем связи GSM</t>
  </si>
  <si>
    <t>Моноблок_3фТ_10А Трансформаторного включения без модул связи</t>
  </si>
  <si>
    <t>Моноблок_3фТ_10А Трансформаторного включения c модулем связя GSM</t>
  </si>
  <si>
    <t>Проект ОЗЗ</t>
  </si>
  <si>
    <t>Это НИКОР проект не зарегестрирован в СИ и не относится к ОТ</t>
  </si>
  <si>
    <t>с-prom</t>
  </si>
  <si>
    <t>Производство</t>
  </si>
  <si>
    <t>Период действия 28.11.2023-25.02.2024</t>
  </si>
  <si>
    <t>Период действия до 27.11.2023</t>
  </si>
  <si>
    <t>Период действия с 26.02.2024 (номер счетчика начинается с 10000: 2401ххххх0010000)</t>
  </si>
  <si>
    <t>MC.3T-P-G</t>
  </si>
  <si>
    <t>Док сTанция для программирования конTроллеров с-prom</t>
  </si>
  <si>
    <t>g-prom-сTарый</t>
  </si>
  <si>
    <t>i-PROM.1-2-1/2-M-RG-Y-Y</t>
  </si>
  <si>
    <t>Счетчик электрической энергии однофазный 5(60)A, (GSM, RS-485)</t>
  </si>
  <si>
    <t>Счетчик электрической энергии однофазный 5(60)A, (RS-485)</t>
  </si>
  <si>
    <t>i-PROM.1-3-1/2-M-RG-Y-Y</t>
  </si>
  <si>
    <t>Счетчик электрической энергии однофазный 5(80)A, (GSM, RS-485)</t>
  </si>
  <si>
    <t>i-PROM.1-3-1/2-M-R-Y-Y</t>
  </si>
  <si>
    <r>
      <t>Счетчик электрической энергии однофазный 5(80)A,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9"/>
        <color rgb="FF000000"/>
        <rFont val="Verdana"/>
        <family val="2"/>
        <charset val="204"/>
      </rPr>
      <t>(RS-485)</t>
    </r>
  </si>
  <si>
    <t>i-PROM.1-1-1/2-M-RG-Y-Y</t>
  </si>
  <si>
    <t xml:space="preserve">Счетчик электрической энергии однофазный 5(100)A, (GSM, RS-485) </t>
  </si>
  <si>
    <t>i-PROM.1-1-1/2-M-R-Y-Y</t>
  </si>
  <si>
    <t>Счетчик электрической энергии однофазный, 5(100)А, (RS-485)</t>
  </si>
  <si>
    <t>i-PROM.3-3-1-1/2-P-RG-Y-N</t>
  </si>
  <si>
    <t>Счетчик электрической энергии трехфазный 5(100)А, (GSM, RS-485)</t>
  </si>
  <si>
    <t>i-PROM.3-3-1-1/2-P-R-Y-N</t>
  </si>
  <si>
    <t>Счетчик электрической энергии трехфазный 5(100)А, (RS-485)</t>
  </si>
  <si>
    <t>Счетчик электрической энергии трехфазный 5(10А) 57,7/100В… 230/400В (GSM, RS-485) (полукосвенного включения).</t>
  </si>
  <si>
    <t>Счетчик электрической энергии трехфазный 5(10А) 57,7/100В… 230/400В (RS-485) (полукосвенного включения).</t>
  </si>
  <si>
    <t>Счетчик электрической энергии трехфазный 5(10А) 57,7/100В… 230/400В  (GSM, RS-485) (косвенного включения).</t>
  </si>
  <si>
    <t>Счетчик электрической энергии трехфазный 5(10А) 57,7/100В… 230/400В (RS-485) (косвенного включения).</t>
  </si>
  <si>
    <t>Модуль связи однофазного прибора учета GSM</t>
  </si>
  <si>
    <t>Модуль связи однофазного прибора учета GSM c eSIM</t>
  </si>
  <si>
    <t>Модуль связи трехфазного прибора учета GSM</t>
  </si>
  <si>
    <t>Модуль связи трехфазного прибора учета GSM c eSIM</t>
  </si>
  <si>
    <t>ModelDescript</t>
  </si>
  <si>
    <t>i-PROM.3-3T-2-0,5S/1-P-RG-N-N</t>
  </si>
  <si>
    <t>i-PROM.3-3T-2-0,5S/1-P-R-N-N</t>
  </si>
  <si>
    <t>Номинальный (базовый) ток</t>
  </si>
  <si>
    <t>Номинальное напряжение</t>
  </si>
  <si>
    <t>Класс точности для реакт. энергии</t>
  </si>
  <si>
    <t>Класс точности для акт. энергии</t>
  </si>
  <si>
    <t>i-prom.3-3-1-1/2-P-RW-Y-N</t>
  </si>
  <si>
    <t>i-prom.3-3T-2-0,5S/1-P-R-N-N</t>
  </si>
  <si>
    <t>i-prom.3-3T-2-0,5S/1-P-RW-N-N</t>
  </si>
  <si>
    <t>i-prom.3-3T-5-0,5S/1-P-R-N-N</t>
  </si>
  <si>
    <t>g-prom-сTаPый</t>
  </si>
  <si>
    <t>MC.1-M-W</t>
  </si>
  <si>
    <t>MC.1-M-E</t>
  </si>
  <si>
    <t>MC.1-M-F</t>
  </si>
  <si>
    <t>MC.1-M-L</t>
  </si>
  <si>
    <t>MC.1-M-G</t>
  </si>
  <si>
    <t>MC.1-M-P</t>
  </si>
  <si>
    <t>MC.1-M-Z</t>
  </si>
  <si>
    <t>MC.1-M-M</t>
  </si>
  <si>
    <t>MC.1-M-G1</t>
  </si>
  <si>
    <t>Описания ПУ и Mодулей связи 21.02.2024</t>
  </si>
  <si>
    <t>i-prom.3-3T-2-0,2S/0,5-P-R-N-Y</t>
  </si>
  <si>
    <t>i-prom.3-3T-2-0,2S/0,5-P-R-N-N</t>
  </si>
  <si>
    <t>i-prom.3-3T-2-0,5S/1-P-R-N-Y</t>
  </si>
  <si>
    <t>Код изделия</t>
  </si>
  <si>
    <t>i-PROM.1-2-1/2-M-R-Y-Y</t>
  </si>
  <si>
    <t>230</t>
  </si>
  <si>
    <t>5</t>
  </si>
  <si>
    <t>Максимальный ток</t>
  </si>
  <si>
    <t>100</t>
  </si>
  <si>
    <t>1</t>
  </si>
  <si>
    <t>2</t>
  </si>
  <si>
    <t>Интерфейс 1</t>
  </si>
  <si>
    <t>Резерв</t>
  </si>
  <si>
    <t>RS-485</t>
  </si>
  <si>
    <t>Док сTанция для пPогPаMMиPования конTPоллEPов с-prom</t>
  </si>
  <si>
    <t>MC.1-M-G,MC.1-M-G1</t>
  </si>
  <si>
    <t>-</t>
  </si>
  <si>
    <t>MC.3-P-G,MC.3-P-G1</t>
  </si>
  <si>
    <t>MC.3-P-G,MC.3-P-G1,MC.3T-P-G</t>
  </si>
  <si>
    <t>60</t>
  </si>
  <si>
    <t>80</t>
  </si>
  <si>
    <t>3х230/400</t>
  </si>
  <si>
    <t>10</t>
  </si>
  <si>
    <t>0,5S</t>
  </si>
  <si>
    <t>Счетчик электрической энергии однофазный 5(80)A, (RS-485)</t>
  </si>
  <si>
    <t>?</t>
  </si>
  <si>
    <t>Модель</t>
  </si>
  <si>
    <t>Вид изделия</t>
  </si>
  <si>
    <t>Группировка 1</t>
  </si>
  <si>
    <t>passportForm_1</t>
  </si>
  <si>
    <t>passportForm_1_GSM</t>
  </si>
  <si>
    <t>passportForm_3_GSM</t>
  </si>
  <si>
    <t>passportForm_3</t>
  </si>
  <si>
    <t>Частота выбора модели</t>
  </si>
  <si>
    <t>Пример i-prom.1-2-1-1/2-M-R-Y-Y</t>
  </si>
  <si>
    <t>0,2S</t>
  </si>
  <si>
    <t>0,5</t>
  </si>
  <si>
    <t>Интерфейс 2 (модуль связи)</t>
  </si>
  <si>
    <t>Имя файла шаблона паспорта без МС</t>
  </si>
  <si>
    <t>Имя файла шаблона паспорта с МС</t>
  </si>
  <si>
    <t>passportForm_3T</t>
  </si>
  <si>
    <t>passportForm_3T_GSM</t>
  </si>
  <si>
    <t>Данный индекс отмеченный красным упразднен в соответствии с ОТ</t>
  </si>
  <si>
    <t>i-prom.3T-2-0,2S/0,5-P-R-N-Y</t>
  </si>
  <si>
    <t>i-prom.3T-2-0,2S/0,5-P-R-N-N</t>
  </si>
  <si>
    <t>i-prom.3T-2-0,5S/1-P-R-N-Y</t>
  </si>
  <si>
    <t>i-prom.3T-2-0,5S/1-P-R-N-N</t>
  </si>
  <si>
    <t>Описание модели</t>
  </si>
  <si>
    <t>3х57,7/100…3х230/400</t>
  </si>
  <si>
    <t>i-prom.1-1-1/2-S-RM-Y-Y</t>
  </si>
  <si>
    <t>i-prom.1-1-1/2-S-RZ-Y-Y</t>
  </si>
  <si>
    <t>i-prom.1-2-1/2-S-RM-Y-Y</t>
  </si>
  <si>
    <t>i-prom.1-2-1/2-S-RZ-Y-Y</t>
  </si>
  <si>
    <t>i-prom.1-3-1/2-S-RM-Y-Y</t>
  </si>
  <si>
    <t>i-prom.1-3-1/2-S-RZ-Y-Y</t>
  </si>
  <si>
    <t>0118</t>
  </si>
  <si>
    <t>0210</t>
  </si>
  <si>
    <t>0213</t>
  </si>
  <si>
    <t>0211</t>
  </si>
  <si>
    <t>0212</t>
  </si>
  <si>
    <t>0119</t>
  </si>
  <si>
    <t>i-prom.3Z-3-1-2-1/2-S-RG-Y</t>
  </si>
  <si>
    <t>0120</t>
  </si>
  <si>
    <t>i-prom.3Z-3-1-2-1/2-P-RG-Y</t>
  </si>
  <si>
    <t>0214</t>
  </si>
  <si>
    <t>0215</t>
  </si>
  <si>
    <t>i-prom.3Z-3T-2-1-0,5S/1-P-RG-N</t>
  </si>
  <si>
    <t>0216</t>
  </si>
  <si>
    <t>7000</t>
  </si>
  <si>
    <t>i-prom.DC</t>
  </si>
  <si>
    <t>0217</t>
  </si>
  <si>
    <t>0218</t>
  </si>
  <si>
    <t>0219</t>
  </si>
  <si>
    <t>0220</t>
  </si>
  <si>
    <t>i-prom.3-3Z-2-0,5S/1-P-R-N-N</t>
  </si>
  <si>
    <t>i-prom.3-3Z-2-0,5S/1-P-RG-N-N</t>
  </si>
  <si>
    <t>i-prom.3-3Z-2-0,5S/1-P-RF-N-N</t>
  </si>
  <si>
    <t>7001</t>
  </si>
  <si>
    <t>i-prom.DC-СКВТ-0,5-R-2</t>
  </si>
  <si>
    <t>i-prom.DC-СКВТ-0,5-R-1</t>
  </si>
  <si>
    <t>i-prom.1 SPLIT</t>
  </si>
  <si>
    <t>i-prom.3 SPLIT</t>
  </si>
  <si>
    <t>Список сотрудников</t>
  </si>
  <si>
    <t>В строке 7 указаны наименования столбцов. Их нужно оставить без изменения.</t>
  </si>
  <si>
    <t>&lt;-номер строки, откуда начинаются данные</t>
  </si>
  <si>
    <t>Запись действует с ДД.ММ.ГГГ (вкл)</t>
  </si>
  <si>
    <t>Запись действует по ДД.ММ.ГГГ (вкл)</t>
  </si>
  <si>
    <t>Таб.номер</t>
  </si>
  <si>
    <t>Полная запись Ф.И.О</t>
  </si>
  <si>
    <t>Краткая запись Ф.И.О.</t>
  </si>
  <si>
    <t>Должность</t>
  </si>
  <si>
    <t>recActualFrom</t>
  </si>
  <si>
    <t>recActualTo</t>
  </si>
  <si>
    <t>employeeId</t>
  </si>
  <si>
    <t>nameFull</t>
  </si>
  <si>
    <t>nameShort</t>
  </si>
  <si>
    <t>position</t>
  </si>
  <si>
    <t>405</t>
  </si>
  <si>
    <t>Хисамов Артур Радикович</t>
  </si>
  <si>
    <t>Хисамов А.Р.</t>
  </si>
  <si>
    <t>начальник отдела</t>
  </si>
  <si>
    <t>295</t>
  </si>
  <si>
    <t>Васильев Владислав Валерьевич</t>
  </si>
  <si>
    <t>Васильев В.В.</t>
  </si>
  <si>
    <t>ведущий инженер</t>
  </si>
  <si>
    <t>216</t>
  </si>
  <si>
    <t>Абросимова Гульчачак Магфуровна</t>
  </si>
  <si>
    <t>Абросимова Г.М.</t>
  </si>
  <si>
    <t>инженер</t>
  </si>
  <si>
    <t>Ермохина Анастасия Николаевна</t>
  </si>
  <si>
    <t>Ермохина А.Н.</t>
  </si>
  <si>
    <t>Жаркова Юлия Владимировна</t>
  </si>
  <si>
    <t>Жаркова Ю.В.</t>
  </si>
  <si>
    <t>Миннубаева Адиля Гумаровна</t>
  </si>
  <si>
    <t>Миннубаева А.Г.</t>
  </si>
  <si>
    <t>466</t>
  </si>
  <si>
    <t>Сунгатуллина Алия Фоатовна</t>
  </si>
  <si>
    <t>Сунгатуллина А.Ф.</t>
  </si>
  <si>
    <t>В строке 9 указаны наименования столбцов. Их нужно оставить без изменения.</t>
  </si>
  <si>
    <t>idProd</t>
  </si>
  <si>
    <t>model</t>
  </si>
  <si>
    <t>typeProd</t>
  </si>
  <si>
    <t>groupName1</t>
  </si>
  <si>
    <t>0223</t>
  </si>
  <si>
    <t>i-prom.3Z-3T-2-2-0,5S/1-P-RG-N</t>
  </si>
  <si>
    <t>i-prom.3Z</t>
  </si>
  <si>
    <t>Карелина Дарья Алексеевна</t>
  </si>
  <si>
    <t>Карелина Д.А.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</si>
</sst>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Verdana"/>
      <family val="2"/>
      <charset val="204"/>
    </font>
    <font>
      <b/>
      <sz val="9"/>
      <color rgb="FF000000"/>
      <name val="Verdana"/>
      <family val="2"/>
      <charset val="204"/>
    </font>
    <font>
      <sz val="9"/>
      <color rgb="FF000000"/>
      <name val="Verdana"/>
      <family val="2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31"/>
      </patternFill>
    </fill>
    <fill>
      <patternFill patternType="solid">
        <fgColor indexed="31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0" fontId="0" fillId="5" borderId="1" xfId="0" applyFill="1" applyBorder="1"/>
    <xf numFmtId="0" fontId="0" fillId="6" borderId="1" xfId="0" applyFill="1" applyBorder="1"/>
    <xf numFmtId="2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G108"/>
  <sheetViews>
    <sheetView zoomScale="106" zoomScaleNormal="106" workbookViewId="0">
      <pane xSplit="3" ySplit="9" topLeftCell="D94" activePane="bottomRight" state="frozen"/>
      <selection pane="topRight" activeCell="B1" sqref="B1"/>
      <selection pane="bottomLeft" activeCell="A10" sqref="A10"/>
      <selection pane="bottomRight" activeCell="F107" sqref="F107"/>
    </sheetView>
  </sheetViews>
  <sheetFormatPr defaultRowHeight="15" x14ac:dyDescent="0.25"/>
  <cols>
    <col min="1" max="1" width="13.85546875" customWidth="1"/>
    <col min="2" max="2" width="14" customWidth="1"/>
    <col min="3" max="3" width="9.140625" style="1" customWidth="1"/>
    <col min="4" max="4" width="29.7109375" style="8" customWidth="1"/>
    <col min="5" max="5" width="14.28515625" style="1" customWidth="1"/>
    <col min="6" max="6" width="15" style="1" customWidth="1"/>
    <col min="7" max="7" width="9.140625" customWidth="1"/>
  </cols>
  <sheetData>
    <row r="1" spans="1:7" s="11" customFormat="1" x14ac:dyDescent="0.25">
      <c r="C1" s="12">
        <v>1</v>
      </c>
      <c r="D1" s="10">
        <f>C1+1</f>
        <v>2</v>
      </c>
      <c r="E1" s="10">
        <f t="shared" ref="E1:F1" si="0">D1+1</f>
        <v>3</v>
      </c>
      <c r="F1" s="10">
        <f t="shared" si="0"/>
        <v>4</v>
      </c>
    </row>
    <row r="2" spans="1:7" s="11" customFormat="1" x14ac:dyDescent="0.25">
      <c r="C2" s="12"/>
      <c r="D2" s="10"/>
      <c r="E2" s="10"/>
      <c r="F2" s="10"/>
    </row>
    <row r="3" spans="1:7" s="11" customFormat="1" x14ac:dyDescent="0.25">
      <c r="C3" s="12"/>
      <c r="D3" s="10"/>
      <c r="E3" s="10"/>
      <c r="F3" s="10"/>
    </row>
    <row r="4" spans="1:7" x14ac:dyDescent="0.25">
      <c r="A4" s="34" t="s">
        <v>449</v>
      </c>
      <c r="D4"/>
      <c r="E4" s="31"/>
      <c r="F4" s="47"/>
      <c r="G4" s="33"/>
    </row>
    <row r="5" spans="1:7" x14ac:dyDescent="0.25">
      <c r="A5" s="31"/>
      <c r="D5"/>
      <c r="E5" s="31"/>
      <c r="F5" s="47"/>
      <c r="G5" s="33"/>
    </row>
    <row r="6" spans="1:7" x14ac:dyDescent="0.25">
      <c r="A6" s="35">
        <v>9</v>
      </c>
      <c r="B6" s="31" t="s">
        <v>415</v>
      </c>
      <c r="E6" s="31"/>
      <c r="F6" s="47"/>
      <c r="G6" s="33"/>
    </row>
    <row r="7" spans="1:7" s="11" customFormat="1" x14ac:dyDescent="0.25">
      <c r="C7" s="12"/>
      <c r="D7" s="10"/>
      <c r="E7" s="10"/>
      <c r="F7" s="10"/>
    </row>
    <row r="8" spans="1:7" s="1" customFormat="1" ht="60" x14ac:dyDescent="0.25">
      <c r="A8" s="37" t="s">
        <v>416</v>
      </c>
      <c r="B8" s="37" t="s">
        <v>417</v>
      </c>
      <c r="C8" s="2" t="s">
        <v>334</v>
      </c>
      <c r="D8" s="2" t="s">
        <v>357</v>
      </c>
      <c r="E8" s="2" t="s">
        <v>358</v>
      </c>
      <c r="F8" s="2" t="s">
        <v>359</v>
      </c>
    </row>
    <row r="9" spans="1:7" s="1" customFormat="1" x14ac:dyDescent="0.25">
      <c r="A9" s="39" t="s">
        <v>422</v>
      </c>
      <c r="B9" s="39" t="s">
        <v>423</v>
      </c>
      <c r="C9" s="48" t="s">
        <v>450</v>
      </c>
      <c r="D9" s="48" t="s">
        <v>451</v>
      </c>
      <c r="E9" s="48" t="s">
        <v>452</v>
      </c>
      <c r="F9" s="48" t="s">
        <v>453</v>
      </c>
    </row>
    <row r="10" spans="1:7" x14ac:dyDescent="0.25">
      <c r="A10" s="42">
        <v>45658</v>
      </c>
      <c r="B10" s="42">
        <v>73050</v>
      </c>
      <c r="C10" s="3" t="s">
        <v>1</v>
      </c>
      <c r="D10" s="7" t="s">
        <v>210</v>
      </c>
      <c r="E10" s="3" t="s">
        <v>118</v>
      </c>
      <c r="F10" s="3" t="s">
        <v>153</v>
      </c>
    </row>
    <row r="11" spans="1:7" x14ac:dyDescent="0.25">
      <c r="A11" s="42">
        <v>45658</v>
      </c>
      <c r="B11" s="42">
        <v>73050</v>
      </c>
      <c r="C11" s="3" t="s">
        <v>3</v>
      </c>
      <c r="D11" s="7" t="s">
        <v>211</v>
      </c>
      <c r="E11" s="3" t="s">
        <v>118</v>
      </c>
      <c r="F11" s="3" t="s">
        <v>153</v>
      </c>
    </row>
    <row r="12" spans="1:7" x14ac:dyDescent="0.25">
      <c r="A12" s="42">
        <v>45658</v>
      </c>
      <c r="B12" s="42">
        <v>73050</v>
      </c>
      <c r="C12" s="3" t="s">
        <v>5</v>
      </c>
      <c r="D12" s="7" t="s">
        <v>212</v>
      </c>
      <c r="E12" s="3" t="s">
        <v>118</v>
      </c>
      <c r="F12" s="3" t="s">
        <v>153</v>
      </c>
    </row>
    <row r="13" spans="1:7" x14ac:dyDescent="0.25">
      <c r="A13" s="42">
        <v>45658</v>
      </c>
      <c r="B13" s="42">
        <v>73050</v>
      </c>
      <c r="C13" s="3" t="s">
        <v>7</v>
      </c>
      <c r="D13" s="7" t="s">
        <v>213</v>
      </c>
      <c r="E13" s="3" t="s">
        <v>118</v>
      </c>
      <c r="F13" s="3" t="s">
        <v>153</v>
      </c>
    </row>
    <row r="14" spans="1:7" x14ac:dyDescent="0.25">
      <c r="A14" s="42">
        <v>45658</v>
      </c>
      <c r="B14" s="42">
        <v>73050</v>
      </c>
      <c r="C14" s="3" t="s">
        <v>9</v>
      </c>
      <c r="D14" s="7" t="s">
        <v>214</v>
      </c>
      <c r="E14" s="3" t="s">
        <v>118</v>
      </c>
      <c r="F14" s="3" t="s">
        <v>153</v>
      </c>
    </row>
    <row r="15" spans="1:7" x14ac:dyDescent="0.25">
      <c r="A15" s="42">
        <v>45658</v>
      </c>
      <c r="B15" s="42">
        <v>73050</v>
      </c>
      <c r="C15" s="3" t="s">
        <v>11</v>
      </c>
      <c r="D15" s="7" t="s">
        <v>215</v>
      </c>
      <c r="E15" s="3" t="s">
        <v>118</v>
      </c>
      <c r="F15" s="3" t="s">
        <v>153</v>
      </c>
    </row>
    <row r="16" spans="1:7" x14ac:dyDescent="0.25">
      <c r="A16" s="42">
        <v>45658</v>
      </c>
      <c r="B16" s="42">
        <v>73050</v>
      </c>
      <c r="C16" s="3" t="s">
        <v>13</v>
      </c>
      <c r="D16" s="7" t="s">
        <v>216</v>
      </c>
      <c r="E16" s="3" t="s">
        <v>118</v>
      </c>
      <c r="F16" s="3" t="s">
        <v>153</v>
      </c>
    </row>
    <row r="17" spans="1:6" x14ac:dyDescent="0.25">
      <c r="A17" s="42">
        <v>45658</v>
      </c>
      <c r="B17" s="42">
        <v>73050</v>
      </c>
      <c r="C17" s="3" t="s">
        <v>15</v>
      </c>
      <c r="D17" s="7" t="s">
        <v>217</v>
      </c>
      <c r="E17" s="3" t="s">
        <v>118</v>
      </c>
      <c r="F17" s="3" t="s">
        <v>153</v>
      </c>
    </row>
    <row r="18" spans="1:6" x14ac:dyDescent="0.25">
      <c r="A18" s="42">
        <v>45658</v>
      </c>
      <c r="B18" s="42">
        <v>73050</v>
      </c>
      <c r="C18" s="3" t="s">
        <v>17</v>
      </c>
      <c r="D18" s="7" t="s">
        <v>18</v>
      </c>
      <c r="E18" s="3" t="s">
        <v>118</v>
      </c>
      <c r="F18" s="3" t="s">
        <v>153</v>
      </c>
    </row>
    <row r="19" spans="1:6" x14ac:dyDescent="0.25">
      <c r="A19" s="42">
        <v>45658</v>
      </c>
      <c r="B19" s="42">
        <v>73050</v>
      </c>
      <c r="C19" s="3" t="s">
        <v>21</v>
      </c>
      <c r="D19" s="7" t="s">
        <v>219</v>
      </c>
      <c r="E19" s="3" t="s">
        <v>118</v>
      </c>
      <c r="F19" s="3" t="s">
        <v>411</v>
      </c>
    </row>
    <row r="20" spans="1:6" x14ac:dyDescent="0.25">
      <c r="A20" s="42">
        <v>45658</v>
      </c>
      <c r="B20" s="42">
        <v>73050</v>
      </c>
      <c r="C20" s="3" t="s">
        <v>25</v>
      </c>
      <c r="D20" s="7" t="s">
        <v>220</v>
      </c>
      <c r="E20" s="3" t="s">
        <v>118</v>
      </c>
      <c r="F20" s="3" t="s">
        <v>411</v>
      </c>
    </row>
    <row r="21" spans="1:6" x14ac:dyDescent="0.25">
      <c r="A21" s="42">
        <v>45658</v>
      </c>
      <c r="B21" s="42">
        <v>73050</v>
      </c>
      <c r="C21" s="3" t="s">
        <v>27</v>
      </c>
      <c r="D21" s="7" t="s">
        <v>221</v>
      </c>
      <c r="E21" s="3" t="s">
        <v>118</v>
      </c>
      <c r="F21" s="3" t="s">
        <v>411</v>
      </c>
    </row>
    <row r="22" spans="1:6" x14ac:dyDescent="0.25">
      <c r="A22" s="42">
        <v>45658</v>
      </c>
      <c r="B22" s="42">
        <v>73050</v>
      </c>
      <c r="C22" s="3" t="s">
        <v>29</v>
      </c>
      <c r="D22" s="7" t="s">
        <v>222</v>
      </c>
      <c r="E22" s="3" t="s">
        <v>118</v>
      </c>
      <c r="F22" s="3" t="s">
        <v>411</v>
      </c>
    </row>
    <row r="23" spans="1:6" x14ac:dyDescent="0.25">
      <c r="A23" s="42">
        <v>45658</v>
      </c>
      <c r="B23" s="42">
        <v>73050</v>
      </c>
      <c r="C23" s="3" t="s">
        <v>31</v>
      </c>
      <c r="D23" s="7" t="s">
        <v>223</v>
      </c>
      <c r="E23" s="3" t="s">
        <v>118</v>
      </c>
      <c r="F23" s="3" t="s">
        <v>411</v>
      </c>
    </row>
    <row r="24" spans="1:6" x14ac:dyDescent="0.25">
      <c r="A24" s="42">
        <v>45658</v>
      </c>
      <c r="B24" s="42">
        <v>73050</v>
      </c>
      <c r="C24" s="3" t="s">
        <v>33</v>
      </c>
      <c r="D24" s="7" t="s">
        <v>224</v>
      </c>
      <c r="E24" s="3" t="s">
        <v>118</v>
      </c>
      <c r="F24" s="3" t="s">
        <v>411</v>
      </c>
    </row>
    <row r="25" spans="1:6" x14ac:dyDescent="0.25">
      <c r="A25" s="42">
        <v>45658</v>
      </c>
      <c r="B25" s="42">
        <v>73050</v>
      </c>
      <c r="C25" s="3" t="s">
        <v>35</v>
      </c>
      <c r="D25" s="7" t="s">
        <v>225</v>
      </c>
      <c r="E25" s="3" t="s">
        <v>118</v>
      </c>
      <c r="F25" s="3" t="s">
        <v>411</v>
      </c>
    </row>
    <row r="26" spans="1:6" x14ac:dyDescent="0.25">
      <c r="A26" s="42">
        <v>45658</v>
      </c>
      <c r="B26" s="42">
        <v>73050</v>
      </c>
      <c r="C26" s="3" t="s">
        <v>163</v>
      </c>
      <c r="D26" s="7" t="s">
        <v>381</v>
      </c>
      <c r="E26" s="3" t="s">
        <v>118</v>
      </c>
      <c r="F26" s="3" t="s">
        <v>411</v>
      </c>
    </row>
    <row r="27" spans="1:6" x14ac:dyDescent="0.25">
      <c r="A27" s="42">
        <v>45658</v>
      </c>
      <c r="B27" s="42">
        <v>73050</v>
      </c>
      <c r="C27" s="3" t="s">
        <v>164</v>
      </c>
      <c r="D27" s="7" t="s">
        <v>380</v>
      </c>
      <c r="E27" s="3" t="s">
        <v>118</v>
      </c>
      <c r="F27" s="3" t="s">
        <v>411</v>
      </c>
    </row>
    <row r="28" spans="1:6" x14ac:dyDescent="0.25">
      <c r="A28" s="42">
        <v>45658</v>
      </c>
      <c r="B28" s="42">
        <v>73050</v>
      </c>
      <c r="C28" s="3" t="s">
        <v>165</v>
      </c>
      <c r="D28" s="7" t="s">
        <v>2</v>
      </c>
      <c r="E28" s="3" t="s">
        <v>118</v>
      </c>
      <c r="F28" s="3" t="s">
        <v>153</v>
      </c>
    </row>
    <row r="29" spans="1:6" x14ac:dyDescent="0.25">
      <c r="A29" s="42">
        <v>45658</v>
      </c>
      <c r="B29" s="42">
        <v>73050</v>
      </c>
      <c r="C29" s="3" t="s">
        <v>166</v>
      </c>
      <c r="D29" s="7" t="s">
        <v>226</v>
      </c>
      <c r="E29" s="3" t="s">
        <v>118</v>
      </c>
      <c r="F29" s="3" t="s">
        <v>153</v>
      </c>
    </row>
    <row r="30" spans="1:6" x14ac:dyDescent="0.25">
      <c r="A30" s="42">
        <v>45658</v>
      </c>
      <c r="B30" s="42">
        <v>73050</v>
      </c>
      <c r="C30" s="3" t="s">
        <v>167</v>
      </c>
      <c r="D30" s="7" t="s">
        <v>227</v>
      </c>
      <c r="E30" s="3" t="s">
        <v>118</v>
      </c>
      <c r="F30" s="3" t="s">
        <v>153</v>
      </c>
    </row>
    <row r="31" spans="1:6" x14ac:dyDescent="0.25">
      <c r="A31" s="42">
        <v>45658</v>
      </c>
      <c r="B31" s="42">
        <v>73050</v>
      </c>
      <c r="C31" s="3" t="s">
        <v>168</v>
      </c>
      <c r="D31" s="7" t="s">
        <v>228</v>
      </c>
      <c r="E31" s="3" t="s">
        <v>118</v>
      </c>
      <c r="F31" s="3" t="s">
        <v>153</v>
      </c>
    </row>
    <row r="32" spans="1:6" x14ac:dyDescent="0.25">
      <c r="A32" s="42">
        <v>45658</v>
      </c>
      <c r="B32" s="42">
        <v>73050</v>
      </c>
      <c r="C32" s="3" t="s">
        <v>169</v>
      </c>
      <c r="D32" s="7" t="s">
        <v>229</v>
      </c>
      <c r="E32" s="3" t="s">
        <v>118</v>
      </c>
      <c r="F32" s="3" t="s">
        <v>153</v>
      </c>
    </row>
    <row r="33" spans="1:6" x14ac:dyDescent="0.25">
      <c r="A33" s="42">
        <v>45658</v>
      </c>
      <c r="B33" s="42">
        <v>73050</v>
      </c>
      <c r="C33" s="3" t="s">
        <v>170</v>
      </c>
      <c r="D33" s="7" t="s">
        <v>230</v>
      </c>
      <c r="E33" s="3" t="s">
        <v>118</v>
      </c>
      <c r="F33" s="3" t="s">
        <v>153</v>
      </c>
    </row>
    <row r="34" spans="1:6" x14ac:dyDescent="0.25">
      <c r="A34" s="42">
        <v>45658</v>
      </c>
      <c r="B34" s="42">
        <v>73050</v>
      </c>
      <c r="C34" s="3" t="s">
        <v>171</v>
      </c>
      <c r="D34" s="7" t="s">
        <v>231</v>
      </c>
      <c r="E34" s="3" t="s">
        <v>118</v>
      </c>
      <c r="F34" s="3" t="s">
        <v>153</v>
      </c>
    </row>
    <row r="35" spans="1:6" x14ac:dyDescent="0.25">
      <c r="A35" s="42">
        <v>45658</v>
      </c>
      <c r="B35" s="42">
        <v>73050</v>
      </c>
      <c r="C35" s="3" t="s">
        <v>172</v>
      </c>
      <c r="D35" s="7" t="s">
        <v>232</v>
      </c>
      <c r="E35" s="3" t="s">
        <v>118</v>
      </c>
      <c r="F35" s="3" t="s">
        <v>153</v>
      </c>
    </row>
    <row r="36" spans="1:6" x14ac:dyDescent="0.25">
      <c r="A36" s="42">
        <v>45658</v>
      </c>
      <c r="B36" s="42">
        <v>73050</v>
      </c>
      <c r="C36" s="3" t="s">
        <v>173</v>
      </c>
      <c r="D36" s="7" t="s">
        <v>233</v>
      </c>
      <c r="E36" s="3" t="s">
        <v>118</v>
      </c>
      <c r="F36" s="3" t="s">
        <v>153</v>
      </c>
    </row>
    <row r="37" spans="1:6" x14ac:dyDescent="0.25">
      <c r="A37" s="42">
        <v>45658</v>
      </c>
      <c r="B37" s="42">
        <v>73050</v>
      </c>
      <c r="C37" s="3" t="s">
        <v>174</v>
      </c>
      <c r="D37" s="7" t="s">
        <v>4</v>
      </c>
      <c r="E37" s="3" t="s">
        <v>118</v>
      </c>
      <c r="F37" s="3" t="s">
        <v>411</v>
      </c>
    </row>
    <row r="38" spans="1:6" x14ac:dyDescent="0.25">
      <c r="A38" s="42">
        <v>45658</v>
      </c>
      <c r="B38" s="42">
        <v>73050</v>
      </c>
      <c r="C38" s="3" t="s">
        <v>175</v>
      </c>
      <c r="D38" s="7" t="s">
        <v>6</v>
      </c>
      <c r="E38" s="3" t="s">
        <v>118</v>
      </c>
      <c r="F38" s="3" t="s">
        <v>411</v>
      </c>
    </row>
    <row r="39" spans="1:6" x14ac:dyDescent="0.25">
      <c r="A39" s="42">
        <v>45658</v>
      </c>
      <c r="B39" s="42">
        <v>73050</v>
      </c>
      <c r="C39" s="3" t="s">
        <v>176</v>
      </c>
      <c r="D39" s="7" t="s">
        <v>8</v>
      </c>
      <c r="E39" s="3" t="s">
        <v>118</v>
      </c>
      <c r="F39" s="3" t="s">
        <v>411</v>
      </c>
    </row>
    <row r="40" spans="1:6" x14ac:dyDescent="0.25">
      <c r="A40" s="42">
        <v>45658</v>
      </c>
      <c r="B40" s="42">
        <v>73050</v>
      </c>
      <c r="C40" s="3" t="s">
        <v>177</v>
      </c>
      <c r="D40" s="7" t="s">
        <v>10</v>
      </c>
      <c r="E40" s="3" t="s">
        <v>118</v>
      </c>
      <c r="F40" s="3" t="s">
        <v>411</v>
      </c>
    </row>
    <row r="41" spans="1:6" x14ac:dyDescent="0.25">
      <c r="A41" s="42">
        <v>45658</v>
      </c>
      <c r="B41" s="42">
        <v>73050</v>
      </c>
      <c r="C41" s="3" t="s">
        <v>178</v>
      </c>
      <c r="D41" s="7" t="s">
        <v>12</v>
      </c>
      <c r="E41" s="3" t="s">
        <v>118</v>
      </c>
      <c r="F41" s="3" t="s">
        <v>411</v>
      </c>
    </row>
    <row r="42" spans="1:6" x14ac:dyDescent="0.25">
      <c r="A42" s="42">
        <v>45658</v>
      </c>
      <c r="B42" s="42">
        <v>73050</v>
      </c>
      <c r="C42" s="3" t="s">
        <v>179</v>
      </c>
      <c r="D42" s="7" t="s">
        <v>14</v>
      </c>
      <c r="E42" s="3" t="s">
        <v>118</v>
      </c>
      <c r="F42" s="3" t="s">
        <v>411</v>
      </c>
    </row>
    <row r="43" spans="1:6" x14ac:dyDescent="0.25">
      <c r="A43" s="42">
        <v>45658</v>
      </c>
      <c r="B43" s="42">
        <v>73050</v>
      </c>
      <c r="C43" s="3" t="s">
        <v>180</v>
      </c>
      <c r="D43" s="7" t="s">
        <v>16</v>
      </c>
      <c r="E43" s="3" t="s">
        <v>118</v>
      </c>
      <c r="F43" s="3" t="s">
        <v>411</v>
      </c>
    </row>
    <row r="44" spans="1:6" x14ac:dyDescent="0.25">
      <c r="A44" s="42">
        <v>45658</v>
      </c>
      <c r="B44" s="42">
        <v>73050</v>
      </c>
      <c r="C44" s="3" t="s">
        <v>181</v>
      </c>
      <c r="D44" s="7" t="s">
        <v>383</v>
      </c>
      <c r="E44" s="3" t="s">
        <v>118</v>
      </c>
      <c r="F44" s="3" t="s">
        <v>411</v>
      </c>
    </row>
    <row r="45" spans="1:6" x14ac:dyDescent="0.25">
      <c r="A45" s="42">
        <v>45658</v>
      </c>
      <c r="B45" s="42">
        <v>73050</v>
      </c>
      <c r="C45" s="3" t="s">
        <v>182</v>
      </c>
      <c r="D45" s="7" t="s">
        <v>382</v>
      </c>
      <c r="E45" s="3" t="s">
        <v>118</v>
      </c>
      <c r="F45" s="3" t="s">
        <v>411</v>
      </c>
    </row>
    <row r="46" spans="1:6" x14ac:dyDescent="0.25">
      <c r="A46" s="42">
        <v>45658</v>
      </c>
      <c r="B46" s="42">
        <v>73050</v>
      </c>
      <c r="C46" s="3" t="s">
        <v>183</v>
      </c>
      <c r="D46" s="7" t="s">
        <v>18</v>
      </c>
      <c r="E46" s="3" t="s">
        <v>118</v>
      </c>
      <c r="F46" s="3" t="s">
        <v>153</v>
      </c>
    </row>
    <row r="47" spans="1:6" x14ac:dyDescent="0.25">
      <c r="A47" s="42">
        <v>45658</v>
      </c>
      <c r="B47" s="42">
        <v>73050</v>
      </c>
      <c r="C47" s="3" t="s">
        <v>184</v>
      </c>
      <c r="D47" s="7" t="s">
        <v>234</v>
      </c>
      <c r="E47" s="3" t="s">
        <v>118</v>
      </c>
      <c r="F47" s="3" t="s">
        <v>153</v>
      </c>
    </row>
    <row r="48" spans="1:6" x14ac:dyDescent="0.25">
      <c r="A48" s="42">
        <v>45658</v>
      </c>
      <c r="B48" s="42">
        <v>73050</v>
      </c>
      <c r="C48" s="3" t="s">
        <v>185</v>
      </c>
      <c r="D48" s="7" t="s">
        <v>235</v>
      </c>
      <c r="E48" s="3" t="s">
        <v>118</v>
      </c>
      <c r="F48" s="3" t="s">
        <v>153</v>
      </c>
    </row>
    <row r="49" spans="1:6" x14ac:dyDescent="0.25">
      <c r="A49" s="42">
        <v>45658</v>
      </c>
      <c r="B49" s="42">
        <v>73050</v>
      </c>
      <c r="C49" s="3" t="s">
        <v>186</v>
      </c>
      <c r="D49" s="7" t="s">
        <v>236</v>
      </c>
      <c r="E49" s="3" t="s">
        <v>118</v>
      </c>
      <c r="F49" s="3" t="s">
        <v>153</v>
      </c>
    </row>
    <row r="50" spans="1:6" x14ac:dyDescent="0.25">
      <c r="A50" s="42">
        <v>45658</v>
      </c>
      <c r="B50" s="42">
        <v>73050</v>
      </c>
      <c r="C50" s="3" t="s">
        <v>187</v>
      </c>
      <c r="D50" s="7" t="s">
        <v>237</v>
      </c>
      <c r="E50" s="3" t="s">
        <v>118</v>
      </c>
      <c r="F50" s="3" t="s">
        <v>153</v>
      </c>
    </row>
    <row r="51" spans="1:6" x14ac:dyDescent="0.25">
      <c r="A51" s="42">
        <v>45658</v>
      </c>
      <c r="B51" s="42">
        <v>73050</v>
      </c>
      <c r="C51" s="3" t="s">
        <v>188</v>
      </c>
      <c r="D51" s="7" t="s">
        <v>238</v>
      </c>
      <c r="E51" s="3" t="s">
        <v>118</v>
      </c>
      <c r="F51" s="3" t="s">
        <v>153</v>
      </c>
    </row>
    <row r="52" spans="1:6" x14ac:dyDescent="0.25">
      <c r="A52" s="42">
        <v>45658</v>
      </c>
      <c r="B52" s="42">
        <v>73050</v>
      </c>
      <c r="C52" s="3" t="s">
        <v>189</v>
      </c>
      <c r="D52" s="7" t="s">
        <v>239</v>
      </c>
      <c r="E52" s="3" t="s">
        <v>118</v>
      </c>
      <c r="F52" s="3" t="s">
        <v>153</v>
      </c>
    </row>
    <row r="53" spans="1:6" x14ac:dyDescent="0.25">
      <c r="A53" s="42">
        <v>45658</v>
      </c>
      <c r="B53" s="42">
        <v>73050</v>
      </c>
      <c r="C53" s="3" t="s">
        <v>190</v>
      </c>
      <c r="D53" s="7" t="s">
        <v>240</v>
      </c>
      <c r="E53" s="3" t="s">
        <v>118</v>
      </c>
      <c r="F53" s="3" t="s">
        <v>153</v>
      </c>
    </row>
    <row r="54" spans="1:6" x14ac:dyDescent="0.25">
      <c r="A54" s="42">
        <v>45658</v>
      </c>
      <c r="B54" s="42">
        <v>73050</v>
      </c>
      <c r="C54" s="3" t="s">
        <v>191</v>
      </c>
      <c r="D54" s="7" t="s">
        <v>241</v>
      </c>
      <c r="E54" s="3" t="s">
        <v>118</v>
      </c>
      <c r="F54" s="3" t="s">
        <v>153</v>
      </c>
    </row>
    <row r="55" spans="1:6" x14ac:dyDescent="0.25">
      <c r="A55" s="42">
        <v>45658</v>
      </c>
      <c r="B55" s="42">
        <v>73050</v>
      </c>
      <c r="C55" s="3" t="s">
        <v>192</v>
      </c>
      <c r="D55" s="7" t="s">
        <v>22</v>
      </c>
      <c r="E55" s="3" t="s">
        <v>118</v>
      </c>
      <c r="F55" s="3" t="s">
        <v>411</v>
      </c>
    </row>
    <row r="56" spans="1:6" x14ac:dyDescent="0.25">
      <c r="A56" s="42">
        <v>45658</v>
      </c>
      <c r="B56" s="42">
        <v>73050</v>
      </c>
      <c r="C56" s="3" t="s">
        <v>193</v>
      </c>
      <c r="D56" s="7" t="s">
        <v>26</v>
      </c>
      <c r="E56" s="3" t="s">
        <v>118</v>
      </c>
      <c r="F56" s="3" t="s">
        <v>411</v>
      </c>
    </row>
    <row r="57" spans="1:6" x14ac:dyDescent="0.25">
      <c r="A57" s="42">
        <v>45658</v>
      </c>
      <c r="B57" s="42">
        <v>73050</v>
      </c>
      <c r="C57" s="3" t="s">
        <v>194</v>
      </c>
      <c r="D57" s="7" t="s">
        <v>28</v>
      </c>
      <c r="E57" s="3" t="s">
        <v>118</v>
      </c>
      <c r="F57" s="3" t="s">
        <v>411</v>
      </c>
    </row>
    <row r="58" spans="1:6" x14ac:dyDescent="0.25">
      <c r="A58" s="42">
        <v>45658</v>
      </c>
      <c r="B58" s="42">
        <v>73050</v>
      </c>
      <c r="C58" s="3" t="s">
        <v>195</v>
      </c>
      <c r="D58" s="7" t="s">
        <v>30</v>
      </c>
      <c r="E58" s="3" t="s">
        <v>118</v>
      </c>
      <c r="F58" s="3" t="s">
        <v>411</v>
      </c>
    </row>
    <row r="59" spans="1:6" x14ac:dyDescent="0.25">
      <c r="A59" s="42">
        <v>45658</v>
      </c>
      <c r="B59" s="42">
        <v>73050</v>
      </c>
      <c r="C59" s="3" t="s">
        <v>196</v>
      </c>
      <c r="D59" s="7" t="s">
        <v>32</v>
      </c>
      <c r="E59" s="3" t="s">
        <v>118</v>
      </c>
      <c r="F59" s="3" t="s">
        <v>411</v>
      </c>
    </row>
    <row r="60" spans="1:6" x14ac:dyDescent="0.25">
      <c r="A60" s="42">
        <v>45658</v>
      </c>
      <c r="B60" s="42">
        <v>73050</v>
      </c>
      <c r="C60" s="3" t="s">
        <v>197</v>
      </c>
      <c r="D60" s="7" t="s">
        <v>34</v>
      </c>
      <c r="E60" s="3" t="s">
        <v>118</v>
      </c>
      <c r="F60" s="3" t="s">
        <v>411</v>
      </c>
    </row>
    <row r="61" spans="1:6" x14ac:dyDescent="0.25">
      <c r="A61" s="42">
        <v>45658</v>
      </c>
      <c r="B61" s="42">
        <v>73050</v>
      </c>
      <c r="C61" s="3" t="s">
        <v>198</v>
      </c>
      <c r="D61" s="7" t="s">
        <v>36</v>
      </c>
      <c r="E61" s="3" t="s">
        <v>118</v>
      </c>
      <c r="F61" s="3" t="s">
        <v>411</v>
      </c>
    </row>
    <row r="62" spans="1:6" x14ac:dyDescent="0.25">
      <c r="A62" s="42">
        <v>45658</v>
      </c>
      <c r="B62" s="42">
        <v>73050</v>
      </c>
      <c r="C62" s="3" t="s">
        <v>199</v>
      </c>
      <c r="D62" s="7" t="s">
        <v>385</v>
      </c>
      <c r="E62" s="3" t="s">
        <v>118</v>
      </c>
      <c r="F62" s="3" t="s">
        <v>411</v>
      </c>
    </row>
    <row r="63" spans="1:6" x14ac:dyDescent="0.25">
      <c r="A63" s="42">
        <v>45658</v>
      </c>
      <c r="B63" s="42">
        <v>73050</v>
      </c>
      <c r="C63" s="3" t="s">
        <v>200</v>
      </c>
      <c r="D63" s="7" t="s">
        <v>384</v>
      </c>
      <c r="E63" s="3" t="s">
        <v>118</v>
      </c>
      <c r="F63" s="3" t="s">
        <v>411</v>
      </c>
    </row>
    <row r="64" spans="1:6" x14ac:dyDescent="0.25">
      <c r="A64" s="42">
        <v>45658</v>
      </c>
      <c r="B64" s="42">
        <v>73050</v>
      </c>
      <c r="C64" s="3" t="s">
        <v>37</v>
      </c>
      <c r="D64" s="7" t="s">
        <v>136</v>
      </c>
      <c r="E64" s="3" t="s">
        <v>118</v>
      </c>
      <c r="F64" s="3" t="s">
        <v>154</v>
      </c>
    </row>
    <row r="65" spans="1:6" x14ac:dyDescent="0.25">
      <c r="A65" s="42">
        <v>45658</v>
      </c>
      <c r="B65" s="42">
        <v>73050</v>
      </c>
      <c r="C65" s="3" t="s">
        <v>39</v>
      </c>
      <c r="D65" s="7" t="s">
        <v>316</v>
      </c>
      <c r="E65" s="3" t="s">
        <v>118</v>
      </c>
      <c r="F65" s="3" t="s">
        <v>154</v>
      </c>
    </row>
    <row r="66" spans="1:6" x14ac:dyDescent="0.25">
      <c r="A66" s="42">
        <v>45658</v>
      </c>
      <c r="B66" s="42">
        <v>73050</v>
      </c>
      <c r="C66" s="3" t="s">
        <v>40</v>
      </c>
      <c r="D66" s="7" t="s">
        <v>242</v>
      </c>
      <c r="E66" s="3" t="s">
        <v>118</v>
      </c>
      <c r="F66" s="3" t="s">
        <v>154</v>
      </c>
    </row>
    <row r="67" spans="1:6" x14ac:dyDescent="0.25">
      <c r="A67" s="42">
        <v>45658</v>
      </c>
      <c r="B67" s="42">
        <v>73050</v>
      </c>
      <c r="C67" s="3" t="s">
        <v>41</v>
      </c>
      <c r="D67" s="7" t="s">
        <v>243</v>
      </c>
      <c r="E67" s="3" t="s">
        <v>118</v>
      </c>
      <c r="F67" s="3" t="s">
        <v>154</v>
      </c>
    </row>
    <row r="68" spans="1:6" x14ac:dyDescent="0.25">
      <c r="A68" s="42">
        <v>45658</v>
      </c>
      <c r="B68" s="42">
        <v>73050</v>
      </c>
      <c r="C68" s="3" t="s">
        <v>42</v>
      </c>
      <c r="D68" s="7" t="s">
        <v>244</v>
      </c>
      <c r="E68" s="3" t="s">
        <v>118</v>
      </c>
      <c r="F68" s="3" t="s">
        <v>154</v>
      </c>
    </row>
    <row r="69" spans="1:6" x14ac:dyDescent="0.25">
      <c r="A69" s="42">
        <v>45658</v>
      </c>
      <c r="B69" s="42">
        <v>73050</v>
      </c>
      <c r="C69" s="3" t="s">
        <v>43</v>
      </c>
      <c r="D69" s="7" t="s">
        <v>245</v>
      </c>
      <c r="E69" s="3" t="s">
        <v>118</v>
      </c>
      <c r="F69" s="3" t="s">
        <v>154</v>
      </c>
    </row>
    <row r="70" spans="1:6" x14ac:dyDescent="0.25">
      <c r="A70" s="42">
        <v>45658</v>
      </c>
      <c r="B70" s="42">
        <v>73050</v>
      </c>
      <c r="C70" s="3" t="s">
        <v>44</v>
      </c>
      <c r="D70" s="7" t="s">
        <v>246</v>
      </c>
      <c r="E70" s="3" t="s">
        <v>118</v>
      </c>
      <c r="F70" s="3" t="s">
        <v>154</v>
      </c>
    </row>
    <row r="71" spans="1:6" x14ac:dyDescent="0.25">
      <c r="A71" s="42">
        <v>45658</v>
      </c>
      <c r="B71" s="42">
        <v>73050</v>
      </c>
      <c r="C71" s="3" t="s">
        <v>45</v>
      </c>
      <c r="D71" s="7" t="s">
        <v>247</v>
      </c>
      <c r="E71" s="3" t="s">
        <v>118</v>
      </c>
      <c r="F71" s="3" t="s">
        <v>154</v>
      </c>
    </row>
    <row r="72" spans="1:6" x14ac:dyDescent="0.25">
      <c r="A72" s="42">
        <v>45658</v>
      </c>
      <c r="B72" s="42">
        <v>73050</v>
      </c>
      <c r="C72" s="3" t="s">
        <v>46</v>
      </c>
      <c r="D72" s="7" t="s">
        <v>248</v>
      </c>
      <c r="E72" s="3" t="s">
        <v>118</v>
      </c>
      <c r="F72" s="3" t="s">
        <v>154</v>
      </c>
    </row>
    <row r="73" spans="1:6" x14ac:dyDescent="0.25">
      <c r="A73" s="42">
        <v>45658</v>
      </c>
      <c r="B73" s="42">
        <v>73050</v>
      </c>
      <c r="C73" s="3" t="s">
        <v>47</v>
      </c>
      <c r="D73" s="7" t="s">
        <v>122</v>
      </c>
      <c r="E73" s="3" t="s">
        <v>118</v>
      </c>
      <c r="F73" s="3" t="s">
        <v>412</v>
      </c>
    </row>
    <row r="74" spans="1:6" x14ac:dyDescent="0.25">
      <c r="A74" s="42">
        <v>45658</v>
      </c>
      <c r="B74" s="42">
        <v>73050</v>
      </c>
      <c r="C74" s="3" t="s">
        <v>48</v>
      </c>
      <c r="D74" s="7" t="s">
        <v>129</v>
      </c>
      <c r="E74" s="3" t="s">
        <v>118</v>
      </c>
      <c r="F74" s="3" t="s">
        <v>412</v>
      </c>
    </row>
    <row r="75" spans="1:6" x14ac:dyDescent="0.25">
      <c r="A75" s="42">
        <v>45658</v>
      </c>
      <c r="B75" s="42">
        <v>73050</v>
      </c>
      <c r="C75" s="3" t="s">
        <v>49</v>
      </c>
      <c r="D75" s="7" t="s">
        <v>130</v>
      </c>
      <c r="E75" s="3" t="s">
        <v>118</v>
      </c>
      <c r="F75" s="3" t="s">
        <v>412</v>
      </c>
    </row>
    <row r="76" spans="1:6" x14ac:dyDescent="0.25">
      <c r="A76" s="42">
        <v>45658</v>
      </c>
      <c r="B76" s="42">
        <v>73050</v>
      </c>
      <c r="C76" s="3" t="s">
        <v>50</v>
      </c>
      <c r="D76" s="7" t="s">
        <v>131</v>
      </c>
      <c r="E76" s="3" t="s">
        <v>118</v>
      </c>
      <c r="F76" s="3" t="s">
        <v>412</v>
      </c>
    </row>
    <row r="77" spans="1:6" x14ac:dyDescent="0.25">
      <c r="A77" s="42">
        <v>45658</v>
      </c>
      <c r="B77" s="42">
        <v>73050</v>
      </c>
      <c r="C77" s="3" t="s">
        <v>51</v>
      </c>
      <c r="D77" s="7" t="s">
        <v>132</v>
      </c>
      <c r="E77" s="3" t="s">
        <v>118</v>
      </c>
      <c r="F77" s="3" t="s">
        <v>412</v>
      </c>
    </row>
    <row r="78" spans="1:6" x14ac:dyDescent="0.25">
      <c r="A78" s="42">
        <v>45658</v>
      </c>
      <c r="B78" s="42">
        <v>73050</v>
      </c>
      <c r="C78" s="3" t="s">
        <v>52</v>
      </c>
      <c r="D78" s="7" t="s">
        <v>136</v>
      </c>
      <c r="E78" s="3" t="s">
        <v>118</v>
      </c>
      <c r="F78" s="3" t="s">
        <v>154</v>
      </c>
    </row>
    <row r="79" spans="1:6" x14ac:dyDescent="0.25">
      <c r="A79" s="42">
        <v>45658</v>
      </c>
      <c r="B79" s="42">
        <v>73050</v>
      </c>
      <c r="C79" s="3" t="s">
        <v>201</v>
      </c>
      <c r="D79" s="7" t="s">
        <v>134</v>
      </c>
      <c r="E79" s="3" t="s">
        <v>118</v>
      </c>
      <c r="F79" s="3" t="s">
        <v>412</v>
      </c>
    </row>
    <row r="80" spans="1:6" x14ac:dyDescent="0.25">
      <c r="A80" s="42">
        <v>45658</v>
      </c>
      <c r="B80" s="42">
        <v>73050</v>
      </c>
      <c r="C80" s="3" t="s">
        <v>202</v>
      </c>
      <c r="D80" s="7" t="s">
        <v>249</v>
      </c>
      <c r="E80" s="3" t="s">
        <v>118</v>
      </c>
      <c r="F80" s="3" t="s">
        <v>412</v>
      </c>
    </row>
    <row r="81" spans="1:6" x14ac:dyDescent="0.25">
      <c r="A81" s="42">
        <v>45658</v>
      </c>
      <c r="B81" s="42">
        <v>73050</v>
      </c>
      <c r="C81" s="3" t="s">
        <v>203</v>
      </c>
      <c r="D81" s="7" t="s">
        <v>250</v>
      </c>
      <c r="E81" s="3" t="s">
        <v>118</v>
      </c>
      <c r="F81" s="3" t="s">
        <v>412</v>
      </c>
    </row>
    <row r="82" spans="1:6" x14ac:dyDescent="0.25">
      <c r="A82" s="42">
        <v>45658</v>
      </c>
      <c r="B82" s="42">
        <v>73050</v>
      </c>
      <c r="C82" s="3" t="s">
        <v>386</v>
      </c>
      <c r="D82" s="7" t="s">
        <v>133</v>
      </c>
      <c r="E82" s="3" t="s">
        <v>118</v>
      </c>
      <c r="F82" s="3" t="s">
        <v>412</v>
      </c>
    </row>
    <row r="83" spans="1:6" x14ac:dyDescent="0.25">
      <c r="A83" s="42">
        <v>45658</v>
      </c>
      <c r="B83" s="42">
        <v>73050</v>
      </c>
      <c r="C83" s="3" t="s">
        <v>391</v>
      </c>
      <c r="D83" s="7" t="s">
        <v>392</v>
      </c>
      <c r="E83" s="3" t="s">
        <v>118</v>
      </c>
      <c r="F83" s="3" t="s">
        <v>412</v>
      </c>
    </row>
    <row r="84" spans="1:6" x14ac:dyDescent="0.25">
      <c r="A84" s="42">
        <v>45658</v>
      </c>
      <c r="B84" s="42">
        <v>73050</v>
      </c>
      <c r="C84" s="3" t="s">
        <v>393</v>
      </c>
      <c r="D84" s="7" t="s">
        <v>394</v>
      </c>
      <c r="E84" s="3" t="s">
        <v>118</v>
      </c>
      <c r="F84" s="3" t="s">
        <v>154</v>
      </c>
    </row>
    <row r="85" spans="1:6" x14ac:dyDescent="0.25">
      <c r="A85" s="42">
        <v>45658</v>
      </c>
      <c r="B85" s="42">
        <v>73050</v>
      </c>
      <c r="C85" s="3" t="s">
        <v>54</v>
      </c>
      <c r="D85" s="7" t="s">
        <v>317</v>
      </c>
      <c r="E85" s="3" t="s">
        <v>118</v>
      </c>
      <c r="F85" s="3" t="s">
        <v>155</v>
      </c>
    </row>
    <row r="86" spans="1:6" x14ac:dyDescent="0.25">
      <c r="A86" s="42">
        <v>45658</v>
      </c>
      <c r="B86" s="42">
        <v>73050</v>
      </c>
      <c r="C86" s="3" t="s">
        <v>55</v>
      </c>
      <c r="D86" s="7" t="s">
        <v>318</v>
      </c>
      <c r="E86" s="3" t="s">
        <v>118</v>
      </c>
      <c r="F86" s="3" t="s">
        <v>155</v>
      </c>
    </row>
    <row r="87" spans="1:6" x14ac:dyDescent="0.25">
      <c r="A87" s="42">
        <v>45658</v>
      </c>
      <c r="B87" s="42">
        <v>73050</v>
      </c>
      <c r="C87" s="3" t="s">
        <v>56</v>
      </c>
      <c r="D87" s="7" t="s">
        <v>251</v>
      </c>
      <c r="E87" s="3" t="s">
        <v>118</v>
      </c>
      <c r="F87" s="3" t="s">
        <v>155</v>
      </c>
    </row>
    <row r="88" spans="1:6" x14ac:dyDescent="0.25">
      <c r="A88" s="42">
        <v>45658</v>
      </c>
      <c r="B88" s="42">
        <v>73050</v>
      </c>
      <c r="C88" s="3" t="s">
        <v>57</v>
      </c>
      <c r="D88" s="7" t="s">
        <v>317</v>
      </c>
      <c r="E88" s="3" t="s">
        <v>118</v>
      </c>
      <c r="F88" s="3" t="s">
        <v>155</v>
      </c>
    </row>
    <row r="89" spans="1:6" x14ac:dyDescent="0.25">
      <c r="A89" s="42">
        <v>45658</v>
      </c>
      <c r="B89" s="42">
        <v>73050</v>
      </c>
      <c r="C89" s="3" t="s">
        <v>204</v>
      </c>
      <c r="D89" s="7" t="s">
        <v>253</v>
      </c>
      <c r="E89" s="3" t="s">
        <v>118</v>
      </c>
      <c r="F89" s="3" t="s">
        <v>155</v>
      </c>
    </row>
    <row r="90" spans="1:6" x14ac:dyDescent="0.25">
      <c r="A90" s="42">
        <v>45658</v>
      </c>
      <c r="B90" s="42">
        <v>73050</v>
      </c>
      <c r="C90" s="3" t="s">
        <v>205</v>
      </c>
      <c r="D90" s="7" t="s">
        <v>254</v>
      </c>
      <c r="E90" s="3" t="s">
        <v>118</v>
      </c>
      <c r="F90" s="3" t="s">
        <v>155</v>
      </c>
    </row>
    <row r="91" spans="1:6" x14ac:dyDescent="0.25">
      <c r="A91" s="42">
        <v>45658</v>
      </c>
      <c r="B91" s="42">
        <v>73050</v>
      </c>
      <c r="C91" s="3" t="s">
        <v>206</v>
      </c>
      <c r="D91" s="7" t="s">
        <v>255</v>
      </c>
      <c r="E91" s="3" t="s">
        <v>118</v>
      </c>
      <c r="F91" s="3" t="s">
        <v>155</v>
      </c>
    </row>
    <row r="92" spans="1:6" x14ac:dyDescent="0.25">
      <c r="A92" s="42">
        <v>45658</v>
      </c>
      <c r="B92" s="42">
        <v>73050</v>
      </c>
      <c r="C92" s="3" t="s">
        <v>207</v>
      </c>
      <c r="D92" s="7" t="s">
        <v>256</v>
      </c>
      <c r="E92" s="3" t="s">
        <v>118</v>
      </c>
      <c r="F92" s="3" t="s">
        <v>155</v>
      </c>
    </row>
    <row r="93" spans="1:6" x14ac:dyDescent="0.25">
      <c r="A93" s="42">
        <v>45658</v>
      </c>
      <c r="B93" s="42">
        <v>73050</v>
      </c>
      <c r="C93" s="3" t="s">
        <v>208</v>
      </c>
      <c r="D93" s="7" t="s">
        <v>257</v>
      </c>
      <c r="E93" s="3" t="s">
        <v>118</v>
      </c>
      <c r="F93" s="3" t="s">
        <v>155</v>
      </c>
    </row>
    <row r="94" spans="1:6" x14ac:dyDescent="0.25">
      <c r="A94" s="42">
        <v>45658</v>
      </c>
      <c r="B94" s="42">
        <v>73050</v>
      </c>
      <c r="C94" s="3" t="s">
        <v>209</v>
      </c>
      <c r="D94" s="7" t="s">
        <v>319</v>
      </c>
      <c r="E94" s="3" t="s">
        <v>118</v>
      </c>
      <c r="F94" s="3" t="s">
        <v>276</v>
      </c>
    </row>
    <row r="95" spans="1:6" x14ac:dyDescent="0.25">
      <c r="A95" s="42">
        <v>45658</v>
      </c>
      <c r="B95" s="42">
        <v>73050</v>
      </c>
      <c r="C95" s="3" t="s">
        <v>387</v>
      </c>
      <c r="D95" s="7" t="s">
        <v>252</v>
      </c>
      <c r="E95" s="3" t="s">
        <v>118</v>
      </c>
      <c r="F95" s="3" t="s">
        <v>155</v>
      </c>
    </row>
    <row r="96" spans="1:6" x14ac:dyDescent="0.25">
      <c r="A96" s="42">
        <v>45658</v>
      </c>
      <c r="B96" s="42">
        <v>73050</v>
      </c>
      <c r="C96" s="3" t="s">
        <v>389</v>
      </c>
      <c r="D96" s="7" t="s">
        <v>317</v>
      </c>
      <c r="E96" s="3" t="s">
        <v>118</v>
      </c>
      <c r="F96" s="3" t="s">
        <v>155</v>
      </c>
    </row>
    <row r="97" spans="1:6" x14ac:dyDescent="0.25">
      <c r="A97" s="42">
        <v>45658</v>
      </c>
      <c r="B97" s="42">
        <v>73050</v>
      </c>
      <c r="C97" s="3" t="s">
        <v>390</v>
      </c>
      <c r="D97" s="7" t="s">
        <v>254</v>
      </c>
      <c r="E97" s="3" t="s">
        <v>118</v>
      </c>
      <c r="F97" s="3" t="s">
        <v>155</v>
      </c>
    </row>
    <row r="98" spans="1:6" x14ac:dyDescent="0.25">
      <c r="A98" s="42">
        <v>45658</v>
      </c>
      <c r="B98" s="42">
        <v>73050</v>
      </c>
      <c r="C98" s="3" t="s">
        <v>388</v>
      </c>
      <c r="D98" s="7" t="s">
        <v>252</v>
      </c>
      <c r="E98" s="3" t="s">
        <v>118</v>
      </c>
      <c r="F98" s="3" t="s">
        <v>155</v>
      </c>
    </row>
    <row r="99" spans="1:6" x14ac:dyDescent="0.25">
      <c r="A99" s="42">
        <v>45658</v>
      </c>
      <c r="B99" s="42">
        <v>73050</v>
      </c>
      <c r="C99" s="3" t="s">
        <v>395</v>
      </c>
      <c r="D99" s="7" t="s">
        <v>392</v>
      </c>
      <c r="E99" s="3" t="s">
        <v>118</v>
      </c>
      <c r="F99" s="3" t="s">
        <v>412</v>
      </c>
    </row>
    <row r="100" spans="1:6" x14ac:dyDescent="0.25">
      <c r="A100" s="42">
        <v>45658</v>
      </c>
      <c r="B100" s="42">
        <v>73050</v>
      </c>
      <c r="C100" s="3" t="s">
        <v>396</v>
      </c>
      <c r="D100" s="7" t="s">
        <v>397</v>
      </c>
      <c r="E100" s="3" t="s">
        <v>118</v>
      </c>
      <c r="F100" s="3" t="s">
        <v>155</v>
      </c>
    </row>
    <row r="101" spans="1:6" x14ac:dyDescent="0.25">
      <c r="A101" s="42">
        <v>45658</v>
      </c>
      <c r="B101" s="42">
        <v>73050</v>
      </c>
      <c r="C101" s="3" t="s">
        <v>398</v>
      </c>
      <c r="D101" s="7" t="s">
        <v>394</v>
      </c>
      <c r="E101" s="3" t="s">
        <v>118</v>
      </c>
      <c r="F101" s="3" t="s">
        <v>154</v>
      </c>
    </row>
    <row r="102" spans="1:6" x14ac:dyDescent="0.25">
      <c r="A102" s="42">
        <v>45658</v>
      </c>
      <c r="B102" s="42">
        <v>73050</v>
      </c>
      <c r="C102" s="3" t="s">
        <v>401</v>
      </c>
      <c r="D102" s="7" t="s">
        <v>405</v>
      </c>
      <c r="E102" s="3" t="s">
        <v>118</v>
      </c>
      <c r="F102" s="3" t="s">
        <v>154</v>
      </c>
    </row>
    <row r="103" spans="1:6" x14ac:dyDescent="0.25">
      <c r="A103" s="42">
        <v>45658</v>
      </c>
      <c r="B103" s="42">
        <v>73050</v>
      </c>
      <c r="C103" s="3" t="s">
        <v>402</v>
      </c>
      <c r="D103" s="7" t="s">
        <v>406</v>
      </c>
      <c r="E103" s="3" t="s">
        <v>118</v>
      </c>
      <c r="F103" s="3" t="s">
        <v>154</v>
      </c>
    </row>
    <row r="104" spans="1:6" x14ac:dyDescent="0.25">
      <c r="A104" s="42">
        <v>45658</v>
      </c>
      <c r="B104" s="42">
        <v>73050</v>
      </c>
      <c r="C104" s="3" t="s">
        <v>403</v>
      </c>
      <c r="D104" s="7" t="s">
        <v>407</v>
      </c>
      <c r="E104" s="3" t="s">
        <v>118</v>
      </c>
      <c r="F104" s="3" t="s">
        <v>154</v>
      </c>
    </row>
    <row r="105" spans="1:6" x14ac:dyDescent="0.25">
      <c r="A105" s="42">
        <v>45658</v>
      </c>
      <c r="B105" s="42">
        <v>73050</v>
      </c>
      <c r="C105" s="3" t="s">
        <v>404</v>
      </c>
      <c r="D105" s="7" t="s">
        <v>254</v>
      </c>
      <c r="E105" s="3" t="s">
        <v>118</v>
      </c>
      <c r="F105" s="3" t="s">
        <v>155</v>
      </c>
    </row>
    <row r="106" spans="1:6" x14ac:dyDescent="0.25">
      <c r="A106" s="42">
        <v>45658</v>
      </c>
      <c r="B106" s="42">
        <v>73050</v>
      </c>
      <c r="C106" s="3" t="s">
        <v>454</v>
      </c>
      <c r="D106" s="7" t="s">
        <v>455</v>
      </c>
      <c r="E106" s="3" t="s">
        <v>118</v>
      </c>
      <c r="F106" s="3" t="s">
        <v>456</v>
      </c>
    </row>
    <row r="107" spans="1:6" x14ac:dyDescent="0.25">
      <c r="A107" s="42">
        <v>45658</v>
      </c>
      <c r="B107" s="42">
        <v>73050</v>
      </c>
      <c r="C107" s="3" t="s">
        <v>399</v>
      </c>
      <c r="D107" s="7" t="s">
        <v>410</v>
      </c>
      <c r="E107" s="3" t="s">
        <v>118</v>
      </c>
      <c r="F107" s="3" t="s">
        <v>400</v>
      </c>
    </row>
    <row r="108" spans="1:6" x14ac:dyDescent="0.25">
      <c r="A108" s="42">
        <v>45658</v>
      </c>
      <c r="B108" s="42">
        <v>73050</v>
      </c>
      <c r="C108" s="3" t="s">
        <v>408</v>
      </c>
      <c r="D108" s="7" t="s">
        <v>409</v>
      </c>
      <c r="E108" s="3" t="s">
        <v>118</v>
      </c>
      <c r="F108" s="3" t="s">
        <v>400</v>
      </c>
    </row>
  </sheetData>
  <sheetProtection selectLockedCells="1" selectUnlockedCells="1"/>
  <autoFilter ref="C8:F108" xr:uid="{00000000-0009-0000-0000-000000000000}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workbookViewId="0">
      <pane ySplit="9" topLeftCell="A10" activePane="bottomLeft" state="frozen"/>
      <selection pane="bottomLeft" activeCell="G15" sqref="G15"/>
    </sheetView>
  </sheetViews>
  <sheetFormatPr defaultRowHeight="15" x14ac:dyDescent="0.25"/>
  <cols>
    <col min="1" max="1" width="14" style="31" bestFit="1" customWidth="1"/>
    <col min="2" max="2" width="13.7109375" style="31" customWidth="1"/>
    <col min="3" max="3" width="13" style="32" customWidth="1"/>
    <col min="4" max="4" width="22.7109375" style="33" customWidth="1"/>
    <col min="5" max="5" width="19.28515625" style="31" customWidth="1"/>
    <col min="6" max="6" width="17.42578125" style="33" customWidth="1"/>
    <col min="7" max="16384" width="9.140625" style="31"/>
  </cols>
  <sheetData>
    <row r="1" spans="1:6" s="28" customFormat="1" x14ac:dyDescent="0.25">
      <c r="A1" s="28">
        <v>1</v>
      </c>
      <c r="B1" s="28">
        <f>A1+1</f>
        <v>2</v>
      </c>
      <c r="C1" s="29">
        <f t="shared" ref="C1:F1" si="0">B1+1</f>
        <v>3</v>
      </c>
      <c r="D1" s="28">
        <f t="shared" si="0"/>
        <v>4</v>
      </c>
      <c r="E1" s="28">
        <f t="shared" si="0"/>
        <v>5</v>
      </c>
      <c r="F1" s="30">
        <f t="shared" si="0"/>
        <v>6</v>
      </c>
    </row>
    <row r="3" spans="1:6" x14ac:dyDescent="0.25">
      <c r="A3" s="34" t="s">
        <v>413</v>
      </c>
    </row>
    <row r="4" spans="1:6" x14ac:dyDescent="0.25">
      <c r="A4" s="34" t="s">
        <v>414</v>
      </c>
    </row>
    <row r="6" spans="1:6" x14ac:dyDescent="0.25">
      <c r="A6" s="35">
        <v>9</v>
      </c>
      <c r="B6" s="31" t="s">
        <v>415</v>
      </c>
    </row>
    <row r="7" spans="1:6" x14ac:dyDescent="0.25">
      <c r="C7" s="36"/>
    </row>
    <row r="8" spans="1:6" s="12" customFormat="1" ht="60" x14ac:dyDescent="0.25">
      <c r="A8" s="37" t="s">
        <v>416</v>
      </c>
      <c r="B8" s="37" t="s">
        <v>417</v>
      </c>
      <c r="C8" s="3" t="s">
        <v>418</v>
      </c>
      <c r="D8" s="38" t="s">
        <v>419</v>
      </c>
      <c r="E8" s="38" t="s">
        <v>420</v>
      </c>
      <c r="F8" s="38" t="s">
        <v>421</v>
      </c>
    </row>
    <row r="9" spans="1:6" s="45" customFormat="1" x14ac:dyDescent="0.25">
      <c r="A9" s="39" t="s">
        <v>422</v>
      </c>
      <c r="B9" s="39" t="s">
        <v>423</v>
      </c>
      <c r="C9" s="40" t="s">
        <v>424</v>
      </c>
      <c r="D9" s="38" t="s">
        <v>425</v>
      </c>
      <c r="E9" s="41" t="s">
        <v>426</v>
      </c>
      <c r="F9" s="38" t="s">
        <v>427</v>
      </c>
    </row>
    <row r="10" spans="1:6" ht="30" x14ac:dyDescent="0.25">
      <c r="A10" s="42">
        <v>45471</v>
      </c>
      <c r="B10" s="42">
        <v>73050</v>
      </c>
      <c r="C10" s="40" t="s">
        <v>428</v>
      </c>
      <c r="D10" s="43" t="s">
        <v>429</v>
      </c>
      <c r="E10" s="44" t="s">
        <v>430</v>
      </c>
      <c r="F10" s="43" t="s">
        <v>431</v>
      </c>
    </row>
    <row r="11" spans="1:6" ht="30" x14ac:dyDescent="0.25">
      <c r="A11" s="42">
        <v>45292</v>
      </c>
      <c r="B11" s="42">
        <v>73050</v>
      </c>
      <c r="C11" s="40" t="s">
        <v>432</v>
      </c>
      <c r="D11" s="43" t="s">
        <v>433</v>
      </c>
      <c r="E11" s="44" t="s">
        <v>434</v>
      </c>
      <c r="F11" s="43" t="s">
        <v>435</v>
      </c>
    </row>
    <row r="12" spans="1:6" ht="30" x14ac:dyDescent="0.25">
      <c r="A12" s="42">
        <v>45292</v>
      </c>
      <c r="B12" s="42">
        <v>73050</v>
      </c>
      <c r="C12" s="40" t="s">
        <v>436</v>
      </c>
      <c r="D12" s="43" t="s">
        <v>437</v>
      </c>
      <c r="E12" s="44" t="s">
        <v>438</v>
      </c>
      <c r="F12" s="43" t="s">
        <v>439</v>
      </c>
    </row>
    <row r="13" spans="1:6" ht="30" x14ac:dyDescent="0.25">
      <c r="A13" s="42">
        <v>45292</v>
      </c>
      <c r="B13" s="42">
        <v>73050</v>
      </c>
      <c r="C13" s="40">
        <v>339</v>
      </c>
      <c r="D13" s="43" t="s">
        <v>440</v>
      </c>
      <c r="E13" s="44" t="s">
        <v>441</v>
      </c>
      <c r="F13" s="43" t="s">
        <v>439</v>
      </c>
    </row>
    <row r="14" spans="1:6" ht="30" x14ac:dyDescent="0.25">
      <c r="A14" s="42">
        <v>45292</v>
      </c>
      <c r="B14" s="42">
        <v>73050</v>
      </c>
      <c r="C14" s="40">
        <v>304</v>
      </c>
      <c r="D14" s="43" t="s">
        <v>442</v>
      </c>
      <c r="E14" s="44" t="s">
        <v>443</v>
      </c>
      <c r="F14" s="43" t="s">
        <v>439</v>
      </c>
    </row>
    <row r="15" spans="1:6" s="46" customFormat="1" ht="30" x14ac:dyDescent="0.25">
      <c r="A15" s="42">
        <v>45292</v>
      </c>
      <c r="B15" s="42">
        <v>73050</v>
      </c>
      <c r="C15" s="40">
        <v>273</v>
      </c>
      <c r="D15" s="43" t="s">
        <v>444</v>
      </c>
      <c r="E15" s="44" t="s">
        <v>445</v>
      </c>
      <c r="F15" s="43" t="s">
        <v>439</v>
      </c>
    </row>
    <row r="16" spans="1:6" s="46" customFormat="1" ht="30" x14ac:dyDescent="0.25">
      <c r="A16" s="42">
        <v>45474</v>
      </c>
      <c r="B16" s="42">
        <v>73050</v>
      </c>
      <c r="C16" s="40" t="s">
        <v>446</v>
      </c>
      <c r="D16" s="43" t="s">
        <v>447</v>
      </c>
      <c r="E16" s="43" t="s">
        <v>448</v>
      </c>
      <c r="F16" s="43" t="s">
        <v>439</v>
      </c>
    </row>
    <row r="17" spans="1:6" ht="30" x14ac:dyDescent="0.25">
      <c r="A17" s="42">
        <v>45887</v>
      </c>
      <c r="B17" s="42">
        <v>45902</v>
      </c>
      <c r="C17" s="40">
        <v>561</v>
      </c>
      <c r="D17" s="43" t="s">
        <v>457</v>
      </c>
      <c r="E17" s="44" t="s">
        <v>458</v>
      </c>
      <c r="F17" s="43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C18"/>
  <sheetViews>
    <sheetView workbookViewId="0">
      <selection activeCell="B13" sqref="B13"/>
    </sheetView>
  </sheetViews>
  <sheetFormatPr defaultRowHeight="15" x14ac:dyDescent="0.25"/>
  <cols>
    <col min="1" max="1" width="30" bestFit="1" customWidth="1"/>
    <col min="2" max="2" width="103.28515625" customWidth="1"/>
    <col min="3" max="3" width="12.42578125" bestFit="1" customWidth="1"/>
  </cols>
  <sheetData>
    <row r="1" spans="1:3" x14ac:dyDescent="0.25">
      <c r="A1" s="49" t="s">
        <v>330</v>
      </c>
      <c r="B1" s="49"/>
    </row>
    <row r="2" spans="1:3" x14ac:dyDescent="0.25">
      <c r="C2" t="s">
        <v>334</v>
      </c>
    </row>
    <row r="3" spans="1:3" x14ac:dyDescent="0.25">
      <c r="A3" s="14" t="s">
        <v>286</v>
      </c>
      <c r="B3" s="15" t="s">
        <v>287</v>
      </c>
      <c r="C3" s="17" t="s">
        <v>170</v>
      </c>
    </row>
    <row r="4" spans="1:3" x14ac:dyDescent="0.25">
      <c r="A4" s="16" t="s">
        <v>335</v>
      </c>
      <c r="B4" s="15" t="s">
        <v>288</v>
      </c>
      <c r="C4" s="17" t="s">
        <v>165</v>
      </c>
    </row>
    <row r="5" spans="1:3" x14ac:dyDescent="0.25">
      <c r="A5" s="16" t="s">
        <v>289</v>
      </c>
      <c r="B5" s="15" t="s">
        <v>290</v>
      </c>
      <c r="C5" s="17" t="s">
        <v>188</v>
      </c>
    </row>
    <row r="6" spans="1:3" ht="15.75" x14ac:dyDescent="0.25">
      <c r="A6" s="16" t="s">
        <v>291</v>
      </c>
      <c r="B6" s="15" t="s">
        <v>292</v>
      </c>
      <c r="C6" s="17" t="s">
        <v>183</v>
      </c>
    </row>
    <row r="7" spans="1:3" x14ac:dyDescent="0.25">
      <c r="A7" s="14" t="s">
        <v>293</v>
      </c>
      <c r="B7" s="15" t="s">
        <v>294</v>
      </c>
      <c r="C7" s="17" t="s">
        <v>11</v>
      </c>
    </row>
    <row r="8" spans="1:3" x14ac:dyDescent="0.25">
      <c r="A8" s="14" t="s">
        <v>295</v>
      </c>
      <c r="B8" s="15" t="s">
        <v>296</v>
      </c>
      <c r="C8" s="17" t="s">
        <v>1</v>
      </c>
    </row>
    <row r="9" spans="1:3" x14ac:dyDescent="0.25">
      <c r="A9" s="16" t="s">
        <v>297</v>
      </c>
      <c r="B9" s="15" t="s">
        <v>298</v>
      </c>
      <c r="C9" s="17" t="s">
        <v>43</v>
      </c>
    </row>
    <row r="10" spans="1:3" x14ac:dyDescent="0.25">
      <c r="A10" s="16" t="s">
        <v>299</v>
      </c>
      <c r="B10" s="15" t="s">
        <v>300</v>
      </c>
      <c r="C10" s="17" t="s">
        <v>37</v>
      </c>
    </row>
    <row r="11" spans="1:3" ht="22.5" x14ac:dyDescent="0.25">
      <c r="A11" s="16" t="s">
        <v>310</v>
      </c>
      <c r="B11" s="15" t="s">
        <v>301</v>
      </c>
      <c r="C11" s="22" t="s">
        <v>205</v>
      </c>
    </row>
    <row r="12" spans="1:3" ht="22.5" x14ac:dyDescent="0.25">
      <c r="A12" s="16" t="s">
        <v>311</v>
      </c>
      <c r="B12" s="15" t="s">
        <v>302</v>
      </c>
      <c r="C12" s="23" t="s">
        <v>54</v>
      </c>
    </row>
    <row r="13" spans="1:3" ht="22.5" x14ac:dyDescent="0.25">
      <c r="A13" s="16" t="s">
        <v>310</v>
      </c>
      <c r="B13" s="15" t="s">
        <v>303</v>
      </c>
      <c r="C13" s="22" t="s">
        <v>205</v>
      </c>
    </row>
    <row r="14" spans="1:3" ht="22.5" x14ac:dyDescent="0.25">
      <c r="A14" s="16" t="s">
        <v>311</v>
      </c>
      <c r="B14" s="15" t="s">
        <v>304</v>
      </c>
      <c r="C14" s="23" t="s">
        <v>54</v>
      </c>
    </row>
    <row r="15" spans="1:3" x14ac:dyDescent="0.25">
      <c r="A15" s="17" t="s">
        <v>325</v>
      </c>
      <c r="B15" s="15" t="s">
        <v>305</v>
      </c>
      <c r="C15" s="17" t="s">
        <v>63</v>
      </c>
    </row>
    <row r="16" spans="1:3" x14ac:dyDescent="0.25">
      <c r="A16" s="16" t="s">
        <v>329</v>
      </c>
      <c r="B16" s="15" t="s">
        <v>306</v>
      </c>
      <c r="C16" s="17" t="s">
        <v>87</v>
      </c>
    </row>
    <row r="17" spans="1:3" x14ac:dyDescent="0.25">
      <c r="A17" s="17" t="s">
        <v>77</v>
      </c>
      <c r="B17" s="15" t="s">
        <v>307</v>
      </c>
      <c r="C17" s="17" t="s">
        <v>76</v>
      </c>
    </row>
    <row r="18" spans="1:3" x14ac:dyDescent="0.25">
      <c r="A18" s="17" t="s">
        <v>97</v>
      </c>
      <c r="B18" s="15" t="s">
        <v>308</v>
      </c>
      <c r="C18" s="17" t="s">
        <v>96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S68"/>
  <sheetViews>
    <sheetView workbookViewId="0">
      <pane xSplit="2" ySplit="3" topLeftCell="C27" activePane="bottomRight" state="frozen"/>
      <selection pane="topRight" activeCell="C1" sqref="C1"/>
      <selection pane="bottomLeft" activeCell="A2" sqref="A2"/>
      <selection pane="bottomRight" activeCell="B69" sqref="B69"/>
    </sheetView>
  </sheetViews>
  <sheetFormatPr defaultRowHeight="15" x14ac:dyDescent="0.25"/>
  <cols>
    <col min="1" max="1" width="12.140625" style="1" bestFit="1" customWidth="1"/>
    <col min="2" max="2" width="29.7109375" style="8" customWidth="1"/>
    <col min="3" max="3" width="23" style="1" customWidth="1"/>
    <col min="4" max="4" width="15" style="1" customWidth="1"/>
    <col min="5" max="5" width="15.42578125" style="1" customWidth="1"/>
    <col min="6" max="6" width="16.5703125" style="1" customWidth="1"/>
    <col min="7" max="7" width="15.140625" style="1" customWidth="1"/>
    <col min="8" max="8" width="13.7109375" style="1" customWidth="1"/>
    <col min="9" max="10" width="14.42578125" style="1" customWidth="1"/>
    <col min="11" max="11" width="13.7109375" style="8" customWidth="1"/>
    <col min="12" max="12" width="28.5703125" style="24" customWidth="1"/>
    <col min="13" max="14" width="17.42578125" style="1" customWidth="1"/>
    <col min="15" max="15" width="13.7109375" style="10" customWidth="1"/>
    <col min="16" max="16" width="13.7109375" style="1" customWidth="1"/>
    <col min="17" max="17" width="19.7109375" style="1" customWidth="1"/>
    <col min="18" max="18" width="27" style="8" customWidth="1"/>
    <col min="19" max="19" width="41.5703125" style="19" customWidth="1"/>
  </cols>
  <sheetData>
    <row r="1" spans="1:19" x14ac:dyDescent="0.25">
      <c r="A1" s="13" t="s">
        <v>281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9"/>
      <c r="Q1" s="9"/>
      <c r="R1" s="9"/>
      <c r="S1" s="18"/>
    </row>
    <row r="2" spans="1:19" s="11" customFormat="1" x14ac:dyDescent="0.25">
      <c r="A2" s="12">
        <v>1</v>
      </c>
      <c r="B2" s="10">
        <f>A2+1</f>
        <v>2</v>
      </c>
      <c r="C2" s="10">
        <f t="shared" ref="C2:S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si="0"/>
        <v>14</v>
      </c>
      <c r="O2" s="10">
        <f t="shared" si="0"/>
        <v>15</v>
      </c>
      <c r="P2" s="10">
        <f t="shared" si="0"/>
        <v>16</v>
      </c>
      <c r="Q2" s="10">
        <f t="shared" si="0"/>
        <v>17</v>
      </c>
      <c r="R2" s="10">
        <f t="shared" si="0"/>
        <v>18</v>
      </c>
      <c r="S2" s="10">
        <f t="shared" si="0"/>
        <v>19</v>
      </c>
    </row>
    <row r="3" spans="1:19" s="1" customFormat="1" ht="6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368</v>
      </c>
      <c r="L3" s="2" t="s">
        <v>309</v>
      </c>
      <c r="M3" s="2" t="s">
        <v>369</v>
      </c>
      <c r="N3" s="2" t="s">
        <v>370</v>
      </c>
      <c r="O3" s="26" t="s">
        <v>364</v>
      </c>
      <c r="P3" s="2" t="s">
        <v>343</v>
      </c>
      <c r="Q3" s="2" t="s">
        <v>279</v>
      </c>
      <c r="R3" s="1" t="s">
        <v>0</v>
      </c>
    </row>
    <row r="4" spans="1:19" ht="30" x14ac:dyDescent="0.25">
      <c r="A4" s="3" t="s">
        <v>1</v>
      </c>
      <c r="B4" s="7" t="s">
        <v>2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351</v>
      </c>
      <c r="H4" s="3" t="s">
        <v>340</v>
      </c>
      <c r="I4" s="3" t="s">
        <v>341</v>
      </c>
      <c r="J4" s="3" t="s">
        <v>344</v>
      </c>
      <c r="K4" s="7" t="s">
        <v>346</v>
      </c>
      <c r="L4" s="21" t="str">
        <f>E4&amp;" В, "&amp;F4&amp;" ("&amp;G4&amp;") А, "&amp;H4&amp;"/"&amp;I4&amp;", "&amp;IF(K4="-","без модуля связи","модули связи: "&amp;K4)</f>
        <v>230 В, 5 (80) А, 1/2, модули связи: MC.1-M-G,MC.1-M-G1</v>
      </c>
      <c r="M4" s="3" t="s">
        <v>347</v>
      </c>
      <c r="N4" s="3" t="s">
        <v>347</v>
      </c>
      <c r="O4" s="27">
        <v>0</v>
      </c>
      <c r="P4" s="3"/>
      <c r="Q4" s="3"/>
      <c r="R4" s="7" t="s">
        <v>365</v>
      </c>
      <c r="S4" s="21"/>
    </row>
    <row r="5" spans="1:19" ht="60" x14ac:dyDescent="0.25">
      <c r="A5" s="3" t="s">
        <v>3</v>
      </c>
      <c r="B5" s="7" t="s">
        <v>4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351</v>
      </c>
      <c r="H5" s="3" t="s">
        <v>340</v>
      </c>
      <c r="I5" s="3" t="s">
        <v>341</v>
      </c>
      <c r="J5" s="3" t="s">
        <v>344</v>
      </c>
      <c r="K5" s="7" t="s">
        <v>356</v>
      </c>
      <c r="L5" s="21" t="str">
        <f t="shared" ref="L5:L38" si="1">E5&amp;" В, "&amp;F5&amp;" ("&amp;G5&amp;") А, "&amp;H5&amp;"/"&amp;I5&amp;", "&amp;IF(K5="-","без модуля связи","модули связи: "&amp;K5)</f>
        <v>230 В, 5 (80) А, 1/2, модули связи: ?</v>
      </c>
      <c r="M5" s="3" t="s">
        <v>347</v>
      </c>
      <c r="N5" s="3" t="s">
        <v>347</v>
      </c>
      <c r="O5" s="27">
        <v>0</v>
      </c>
      <c r="P5" s="3"/>
      <c r="Q5" s="3"/>
      <c r="R5" s="7" t="s">
        <v>373</v>
      </c>
      <c r="S5" s="21"/>
    </row>
    <row r="6" spans="1:19" ht="30" x14ac:dyDescent="0.25">
      <c r="A6" s="3" t="s">
        <v>5</v>
      </c>
      <c r="B6" s="7" t="s">
        <v>6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351</v>
      </c>
      <c r="H6" s="3" t="s">
        <v>340</v>
      </c>
      <c r="I6" s="3" t="s">
        <v>341</v>
      </c>
      <c r="J6" s="3" t="s">
        <v>344</v>
      </c>
      <c r="K6" s="7" t="s">
        <v>356</v>
      </c>
      <c r="L6" s="21" t="str">
        <f t="shared" si="1"/>
        <v>230 В, 5 (80) А, 1/2, модули связи: ?</v>
      </c>
      <c r="M6" s="3" t="s">
        <v>347</v>
      </c>
      <c r="N6" s="3" t="s">
        <v>347</v>
      </c>
      <c r="O6" s="27">
        <v>0</v>
      </c>
      <c r="P6" s="3"/>
      <c r="Q6" s="3"/>
      <c r="R6" s="7"/>
      <c r="S6" s="21"/>
    </row>
    <row r="7" spans="1:19" ht="30" x14ac:dyDescent="0.25">
      <c r="A7" s="3" t="s">
        <v>7</v>
      </c>
      <c r="B7" s="7" t="s">
        <v>8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351</v>
      </c>
      <c r="H7" s="3" t="s">
        <v>340</v>
      </c>
      <c r="I7" s="3" t="s">
        <v>341</v>
      </c>
      <c r="J7" s="3" t="s">
        <v>344</v>
      </c>
      <c r="K7" s="7" t="s">
        <v>356</v>
      </c>
      <c r="L7" s="21" t="str">
        <f t="shared" si="1"/>
        <v>230 В, 5 (80) А, 1/2, модули связи: ?</v>
      </c>
      <c r="M7" s="3" t="s">
        <v>347</v>
      </c>
      <c r="N7" s="3" t="s">
        <v>347</v>
      </c>
      <c r="O7" s="27">
        <v>0</v>
      </c>
      <c r="P7" s="3"/>
      <c r="Q7" s="3"/>
      <c r="R7" s="7"/>
      <c r="S7" s="21"/>
    </row>
    <row r="8" spans="1:19" ht="30" x14ac:dyDescent="0.25">
      <c r="A8" s="3" t="s">
        <v>9</v>
      </c>
      <c r="B8" s="7" t="s">
        <v>10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351</v>
      </c>
      <c r="H8" s="3" t="s">
        <v>340</v>
      </c>
      <c r="I8" s="3" t="s">
        <v>341</v>
      </c>
      <c r="J8" s="3" t="s">
        <v>344</v>
      </c>
      <c r="K8" s="7" t="s">
        <v>356</v>
      </c>
      <c r="L8" s="21" t="str">
        <f t="shared" si="1"/>
        <v>230 В, 5 (80) А, 1/2, модули связи: ?</v>
      </c>
      <c r="M8" s="3" t="s">
        <v>347</v>
      </c>
      <c r="N8" s="3" t="s">
        <v>347</v>
      </c>
      <c r="O8" s="27">
        <v>0</v>
      </c>
      <c r="P8" s="3"/>
      <c r="Q8" s="3"/>
      <c r="R8" s="7"/>
      <c r="S8" s="21"/>
    </row>
    <row r="9" spans="1:19" ht="30" x14ac:dyDescent="0.25">
      <c r="A9" s="3" t="s">
        <v>11</v>
      </c>
      <c r="B9" s="7" t="s">
        <v>12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351</v>
      </c>
      <c r="H9" s="3" t="s">
        <v>340</v>
      </c>
      <c r="I9" s="3" t="s">
        <v>341</v>
      </c>
      <c r="J9" s="3" t="s">
        <v>344</v>
      </c>
      <c r="K9" s="7" t="s">
        <v>356</v>
      </c>
      <c r="L9" s="21" t="str">
        <f t="shared" si="1"/>
        <v>230 В, 5 (80) А, 1/2, модули связи: ?</v>
      </c>
      <c r="M9" s="3" t="s">
        <v>347</v>
      </c>
      <c r="N9" s="3" t="s">
        <v>347</v>
      </c>
      <c r="O9" s="27">
        <v>0</v>
      </c>
      <c r="P9" s="3"/>
      <c r="Q9" s="3"/>
      <c r="R9" s="7"/>
      <c r="S9" s="21"/>
    </row>
    <row r="10" spans="1:19" ht="30" x14ac:dyDescent="0.25">
      <c r="A10" s="3" t="s">
        <v>13</v>
      </c>
      <c r="B10" s="7" t="s">
        <v>14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351</v>
      </c>
      <c r="H10" s="3" t="s">
        <v>340</v>
      </c>
      <c r="I10" s="3" t="s">
        <v>341</v>
      </c>
      <c r="J10" s="3" t="s">
        <v>344</v>
      </c>
      <c r="K10" s="7" t="s">
        <v>91</v>
      </c>
      <c r="L10" s="21" t="str">
        <f t="shared" si="1"/>
        <v>230 В, 5 (80) А, 1/2, модули связи: MC.1-S-G</v>
      </c>
      <c r="M10" s="3" t="s">
        <v>347</v>
      </c>
      <c r="N10" s="3" t="s">
        <v>347</v>
      </c>
      <c r="O10" s="27">
        <v>0</v>
      </c>
      <c r="P10" s="3"/>
      <c r="Q10" s="3"/>
      <c r="R10" s="7"/>
      <c r="S10" s="21"/>
    </row>
    <row r="11" spans="1:19" ht="30" x14ac:dyDescent="0.25">
      <c r="A11" s="3" t="s">
        <v>15</v>
      </c>
      <c r="B11" s="7" t="s">
        <v>16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351</v>
      </c>
      <c r="H11" s="3" t="s">
        <v>340</v>
      </c>
      <c r="I11" s="3" t="s">
        <v>341</v>
      </c>
      <c r="J11" s="3" t="s">
        <v>344</v>
      </c>
      <c r="K11" s="7" t="s">
        <v>356</v>
      </c>
      <c r="L11" s="21" t="str">
        <f t="shared" si="1"/>
        <v>230 В, 5 (80) А, 1/2, модули связи: ?</v>
      </c>
      <c r="M11" s="3" t="s">
        <v>347</v>
      </c>
      <c r="N11" s="3" t="s">
        <v>347</v>
      </c>
      <c r="O11" s="27">
        <v>0</v>
      </c>
      <c r="P11" s="3"/>
      <c r="Q11" s="3"/>
      <c r="R11" s="7"/>
      <c r="S11" s="21"/>
    </row>
    <row r="12" spans="1:19" ht="30" x14ac:dyDescent="0.25">
      <c r="A12" s="3" t="s">
        <v>17</v>
      </c>
      <c r="B12" s="7" t="s">
        <v>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351</v>
      </c>
      <c r="H12" s="3" t="s">
        <v>340</v>
      </c>
      <c r="I12" s="3" t="s">
        <v>341</v>
      </c>
      <c r="J12" s="3" t="s">
        <v>344</v>
      </c>
      <c r="K12" s="7" t="s">
        <v>346</v>
      </c>
      <c r="L12" s="21" t="str">
        <f t="shared" si="1"/>
        <v>230 В, 5 (80) А, 1/2, модули связи: MC.1-M-G,MC.1-M-G1</v>
      </c>
      <c r="M12" s="3" t="s">
        <v>360</v>
      </c>
      <c r="N12" s="3" t="s">
        <v>361</v>
      </c>
      <c r="O12" s="27">
        <v>0</v>
      </c>
      <c r="P12" s="3"/>
      <c r="Q12" s="4" t="s">
        <v>19</v>
      </c>
      <c r="R12" s="7" t="s">
        <v>20</v>
      </c>
      <c r="S12" s="21"/>
    </row>
    <row r="13" spans="1:19" ht="30" x14ac:dyDescent="0.25">
      <c r="A13" s="3" t="s">
        <v>21</v>
      </c>
      <c r="B13" s="7" t="s">
        <v>22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351</v>
      </c>
      <c r="H13" s="3" t="s">
        <v>340</v>
      </c>
      <c r="I13" s="3" t="s">
        <v>341</v>
      </c>
      <c r="J13" s="3" t="s">
        <v>344</v>
      </c>
      <c r="K13" s="7" t="s">
        <v>356</v>
      </c>
      <c r="L13" s="21" t="str">
        <f t="shared" si="1"/>
        <v>230 В, 5 (80) А, 1/2, модули связи: ?</v>
      </c>
      <c r="M13" s="3" t="s">
        <v>347</v>
      </c>
      <c r="N13" s="3" t="s">
        <v>347</v>
      </c>
      <c r="O13" s="27">
        <v>0</v>
      </c>
      <c r="P13" s="3"/>
      <c r="Q13" s="5" t="s">
        <v>23</v>
      </c>
      <c r="R13" s="7" t="s">
        <v>24</v>
      </c>
      <c r="S13" s="21"/>
    </row>
    <row r="14" spans="1:19" ht="30" x14ac:dyDescent="0.25">
      <c r="A14" s="3" t="s">
        <v>25</v>
      </c>
      <c r="B14" s="7" t="s">
        <v>26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351</v>
      </c>
      <c r="H14" s="3" t="s">
        <v>340</v>
      </c>
      <c r="I14" s="3" t="s">
        <v>341</v>
      </c>
      <c r="J14" s="3" t="s">
        <v>344</v>
      </c>
      <c r="K14" s="7" t="s">
        <v>356</v>
      </c>
      <c r="L14" s="21" t="str">
        <f t="shared" si="1"/>
        <v>230 В, 5 (80) А, 1/2, модули связи: ?</v>
      </c>
      <c r="M14" s="3" t="s">
        <v>347</v>
      </c>
      <c r="N14" s="3" t="s">
        <v>347</v>
      </c>
      <c r="O14" s="27">
        <v>0</v>
      </c>
      <c r="P14" s="3"/>
      <c r="Q14" s="3"/>
      <c r="R14" s="7"/>
      <c r="S14" s="21"/>
    </row>
    <row r="15" spans="1:19" ht="30" x14ac:dyDescent="0.25">
      <c r="A15" s="3" t="s">
        <v>27</v>
      </c>
      <c r="B15" s="7" t="s">
        <v>28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351</v>
      </c>
      <c r="H15" s="3" t="s">
        <v>340</v>
      </c>
      <c r="I15" s="3" t="s">
        <v>341</v>
      </c>
      <c r="J15" s="3" t="s">
        <v>344</v>
      </c>
      <c r="K15" s="7" t="s">
        <v>356</v>
      </c>
      <c r="L15" s="21" t="str">
        <f t="shared" si="1"/>
        <v>230 В, 5 (80) А, 1/2, модули связи: ?</v>
      </c>
      <c r="M15" s="3" t="s">
        <v>347</v>
      </c>
      <c r="N15" s="3" t="s">
        <v>347</v>
      </c>
      <c r="O15" s="27">
        <v>0</v>
      </c>
      <c r="P15" s="3"/>
      <c r="Q15" s="3"/>
      <c r="R15" s="7"/>
      <c r="S15" s="21"/>
    </row>
    <row r="16" spans="1:19" ht="30" x14ac:dyDescent="0.25">
      <c r="A16" s="3" t="s">
        <v>29</v>
      </c>
      <c r="B16" s="7" t="s">
        <v>30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351</v>
      </c>
      <c r="H16" s="3" t="s">
        <v>340</v>
      </c>
      <c r="I16" s="3" t="s">
        <v>341</v>
      </c>
      <c r="J16" s="3" t="s">
        <v>344</v>
      </c>
      <c r="K16" s="7" t="s">
        <v>356</v>
      </c>
      <c r="L16" s="21" t="str">
        <f t="shared" si="1"/>
        <v>230 В, 5 (80) А, 1/2, модули связи: ?</v>
      </c>
      <c r="M16" s="3" t="s">
        <v>347</v>
      </c>
      <c r="N16" s="3" t="s">
        <v>347</v>
      </c>
      <c r="O16" s="27">
        <v>0</v>
      </c>
      <c r="P16" s="3"/>
      <c r="Q16" s="3"/>
      <c r="R16" s="7"/>
      <c r="S16" s="21"/>
    </row>
    <row r="17" spans="1:19" ht="30" x14ac:dyDescent="0.25">
      <c r="A17" s="3" t="s">
        <v>31</v>
      </c>
      <c r="B17" s="7" t="s">
        <v>32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351</v>
      </c>
      <c r="H17" s="3" t="s">
        <v>340</v>
      </c>
      <c r="I17" s="3" t="s">
        <v>341</v>
      </c>
      <c r="J17" s="3" t="s">
        <v>344</v>
      </c>
      <c r="K17" s="7" t="s">
        <v>356</v>
      </c>
      <c r="L17" s="21" t="str">
        <f t="shared" si="1"/>
        <v>230 В, 5 (80) А, 1/2, модули связи: ?</v>
      </c>
      <c r="M17" s="3" t="s">
        <v>347</v>
      </c>
      <c r="N17" s="3" t="s">
        <v>347</v>
      </c>
      <c r="O17" s="27">
        <v>0</v>
      </c>
      <c r="P17" s="3"/>
      <c r="Q17" s="3"/>
      <c r="R17" s="7"/>
      <c r="S17" s="21"/>
    </row>
    <row r="18" spans="1:19" ht="30" x14ac:dyDescent="0.25">
      <c r="A18" s="3" t="s">
        <v>33</v>
      </c>
      <c r="B18" s="7" t="s">
        <v>34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351</v>
      </c>
      <c r="H18" s="3" t="s">
        <v>340</v>
      </c>
      <c r="I18" s="3" t="s">
        <v>341</v>
      </c>
      <c r="J18" s="3" t="s">
        <v>344</v>
      </c>
      <c r="K18" s="7" t="s">
        <v>91</v>
      </c>
      <c r="L18" s="21" t="str">
        <f t="shared" si="1"/>
        <v>230 В, 5 (80) А, 1/2, модули связи: MC.1-S-G</v>
      </c>
      <c r="M18" s="3" t="s">
        <v>347</v>
      </c>
      <c r="N18" s="3" t="s">
        <v>347</v>
      </c>
      <c r="O18" s="27">
        <v>0</v>
      </c>
      <c r="P18" s="3"/>
      <c r="Q18" s="3"/>
      <c r="R18" s="7"/>
      <c r="S18" s="21"/>
    </row>
    <row r="19" spans="1:19" ht="30" x14ac:dyDescent="0.25">
      <c r="A19" s="3" t="s">
        <v>35</v>
      </c>
      <c r="B19" s="7" t="s">
        <v>36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351</v>
      </c>
      <c r="H19" s="3" t="s">
        <v>340</v>
      </c>
      <c r="I19" s="3" t="s">
        <v>341</v>
      </c>
      <c r="J19" s="3" t="s">
        <v>344</v>
      </c>
      <c r="K19" s="7" t="s">
        <v>356</v>
      </c>
      <c r="L19" s="21" t="str">
        <f t="shared" si="1"/>
        <v>230 В, 5 (80) А, 1/2, модули связи: ?</v>
      </c>
      <c r="M19" s="3" t="s">
        <v>347</v>
      </c>
      <c r="N19" s="3" t="s">
        <v>347</v>
      </c>
      <c r="O19" s="27">
        <v>0</v>
      </c>
      <c r="P19" s="3"/>
      <c r="Q19" s="3"/>
      <c r="R19" s="7"/>
      <c r="S19" s="21"/>
    </row>
    <row r="20" spans="1:19" ht="30" x14ac:dyDescent="0.25">
      <c r="A20" s="3" t="s">
        <v>37</v>
      </c>
      <c r="B20" s="7" t="s">
        <v>137</v>
      </c>
      <c r="C20" s="3" t="s">
        <v>118</v>
      </c>
      <c r="D20" s="3" t="s">
        <v>154</v>
      </c>
      <c r="E20" s="3" t="s">
        <v>352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356</v>
      </c>
      <c r="L20" s="21" t="str">
        <f t="shared" si="1"/>
        <v>3х230/400 В, 5 (100) А, 1/2, модули связи: ?</v>
      </c>
      <c r="M20" s="3" t="s">
        <v>347</v>
      </c>
      <c r="N20" s="3" t="s">
        <v>347</v>
      </c>
      <c r="O20" s="27">
        <v>0</v>
      </c>
      <c r="P20" s="3"/>
      <c r="Q20" s="5" t="s">
        <v>23</v>
      </c>
      <c r="R20" s="7" t="s">
        <v>38</v>
      </c>
      <c r="S20" s="21"/>
    </row>
    <row r="21" spans="1:19" ht="30" x14ac:dyDescent="0.25">
      <c r="A21" s="3" t="s">
        <v>39</v>
      </c>
      <c r="B21" s="7" t="s">
        <v>138</v>
      </c>
      <c r="C21" s="3" t="s">
        <v>118</v>
      </c>
      <c r="D21" s="3" t="s">
        <v>154</v>
      </c>
      <c r="E21" s="3" t="s">
        <v>352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356</v>
      </c>
      <c r="L21" s="21" t="str">
        <f t="shared" si="1"/>
        <v>3х230/400 В, 5 (100) А, 1/2, модули связи: ?</v>
      </c>
      <c r="M21" s="3" t="s">
        <v>347</v>
      </c>
      <c r="N21" s="3" t="s">
        <v>347</v>
      </c>
      <c r="O21" s="27">
        <v>0</v>
      </c>
      <c r="P21" s="3"/>
      <c r="Q21" s="3"/>
      <c r="R21" s="7"/>
      <c r="S21" s="21"/>
    </row>
    <row r="22" spans="1:19" ht="30" x14ac:dyDescent="0.25">
      <c r="A22" s="3" t="s">
        <v>40</v>
      </c>
      <c r="B22" s="7" t="s">
        <v>139</v>
      </c>
      <c r="C22" s="3" t="s">
        <v>118</v>
      </c>
      <c r="D22" s="3" t="s">
        <v>154</v>
      </c>
      <c r="E22" s="3" t="s">
        <v>352</v>
      </c>
      <c r="F22" s="3" t="s">
        <v>337</v>
      </c>
      <c r="G22" s="3" t="s">
        <v>339</v>
      </c>
      <c r="H22" s="3" t="s">
        <v>340</v>
      </c>
      <c r="I22" s="3" t="s">
        <v>341</v>
      </c>
      <c r="J22" s="3" t="s">
        <v>344</v>
      </c>
      <c r="K22" s="7" t="s">
        <v>356</v>
      </c>
      <c r="L22" s="21" t="str">
        <f t="shared" si="1"/>
        <v>3х230/400 В, 5 (100) А, 1/2, модули связи: ?</v>
      </c>
      <c r="M22" s="3" t="s">
        <v>347</v>
      </c>
      <c r="N22" s="3" t="s">
        <v>347</v>
      </c>
      <c r="O22" s="27">
        <v>0</v>
      </c>
      <c r="P22" s="3"/>
      <c r="Q22" s="3"/>
      <c r="R22" s="7"/>
      <c r="S22" s="21"/>
    </row>
    <row r="23" spans="1:19" ht="30" x14ac:dyDescent="0.25">
      <c r="A23" s="3" t="s">
        <v>41</v>
      </c>
      <c r="B23" s="7" t="s">
        <v>140</v>
      </c>
      <c r="C23" s="3" t="s">
        <v>118</v>
      </c>
      <c r="D23" s="3" t="s">
        <v>154</v>
      </c>
      <c r="E23" s="3" t="s">
        <v>352</v>
      </c>
      <c r="F23" s="3" t="s">
        <v>337</v>
      </c>
      <c r="G23" s="3" t="s">
        <v>339</v>
      </c>
      <c r="H23" s="3" t="s">
        <v>340</v>
      </c>
      <c r="I23" s="3" t="s">
        <v>341</v>
      </c>
      <c r="J23" s="3" t="s">
        <v>344</v>
      </c>
      <c r="K23" s="7" t="s">
        <v>356</v>
      </c>
      <c r="L23" s="21" t="str">
        <f t="shared" si="1"/>
        <v>3х230/400 В, 5 (100) А, 1/2, модули связи: ?</v>
      </c>
      <c r="M23" s="3" t="s">
        <v>347</v>
      </c>
      <c r="N23" s="3" t="s">
        <v>347</v>
      </c>
      <c r="O23" s="27">
        <v>0</v>
      </c>
      <c r="P23" s="3"/>
      <c r="Q23" s="3"/>
      <c r="R23" s="7"/>
      <c r="S23" s="21"/>
    </row>
    <row r="24" spans="1:19" ht="30" x14ac:dyDescent="0.25">
      <c r="A24" s="3" t="s">
        <v>42</v>
      </c>
      <c r="B24" s="7" t="s">
        <v>141</v>
      </c>
      <c r="C24" s="3" t="s">
        <v>118</v>
      </c>
      <c r="D24" s="3" t="s">
        <v>154</v>
      </c>
      <c r="E24" s="3" t="s">
        <v>352</v>
      </c>
      <c r="F24" s="3" t="s">
        <v>337</v>
      </c>
      <c r="G24" s="3" t="s">
        <v>339</v>
      </c>
      <c r="H24" s="3" t="s">
        <v>340</v>
      </c>
      <c r="I24" s="3" t="s">
        <v>341</v>
      </c>
      <c r="J24" s="3" t="s">
        <v>344</v>
      </c>
      <c r="K24" s="7" t="s">
        <v>356</v>
      </c>
      <c r="L24" s="21" t="str">
        <f t="shared" si="1"/>
        <v>3х230/400 В, 5 (100) А, 1/2, модули связи: ?</v>
      </c>
      <c r="M24" s="3" t="s">
        <v>347</v>
      </c>
      <c r="N24" s="3" t="s">
        <v>347</v>
      </c>
      <c r="O24" s="27">
        <v>0</v>
      </c>
      <c r="P24" s="3"/>
      <c r="Q24" s="3"/>
      <c r="R24" s="7"/>
      <c r="S24" s="21"/>
    </row>
    <row r="25" spans="1:19" ht="30" x14ac:dyDescent="0.25">
      <c r="A25" s="3" t="s">
        <v>43</v>
      </c>
      <c r="B25" s="7" t="s">
        <v>142</v>
      </c>
      <c r="C25" s="3" t="s">
        <v>118</v>
      </c>
      <c r="D25" s="3" t="s">
        <v>154</v>
      </c>
      <c r="E25" s="3" t="s">
        <v>352</v>
      </c>
      <c r="F25" s="3" t="s">
        <v>337</v>
      </c>
      <c r="G25" s="3" t="s">
        <v>339</v>
      </c>
      <c r="H25" s="3" t="s">
        <v>340</v>
      </c>
      <c r="I25" s="3" t="s">
        <v>341</v>
      </c>
      <c r="J25" s="3" t="s">
        <v>344</v>
      </c>
      <c r="K25" s="7" t="s">
        <v>94</v>
      </c>
      <c r="L25" s="21" t="str">
        <f t="shared" si="1"/>
        <v>3х230/400 В, 5 (100) А, 1/2, модули связи: MC.3-S-G</v>
      </c>
      <c r="M25" s="3" t="s">
        <v>347</v>
      </c>
      <c r="N25" s="3" t="s">
        <v>347</v>
      </c>
      <c r="O25" s="27">
        <v>0</v>
      </c>
      <c r="P25" s="3"/>
      <c r="Q25" s="3"/>
      <c r="R25" s="7"/>
      <c r="S25" s="21"/>
    </row>
    <row r="26" spans="1:19" ht="30" x14ac:dyDescent="0.25">
      <c r="A26" s="3" t="s">
        <v>44</v>
      </c>
      <c r="B26" s="7" t="s">
        <v>143</v>
      </c>
      <c r="C26" s="3" t="s">
        <v>118</v>
      </c>
      <c r="D26" s="3" t="s">
        <v>154</v>
      </c>
      <c r="E26" s="3" t="s">
        <v>352</v>
      </c>
      <c r="F26" s="3" t="s">
        <v>337</v>
      </c>
      <c r="G26" s="3" t="s">
        <v>339</v>
      </c>
      <c r="H26" s="3" t="s">
        <v>340</v>
      </c>
      <c r="I26" s="3" t="s">
        <v>341</v>
      </c>
      <c r="J26" s="3" t="s">
        <v>344</v>
      </c>
      <c r="K26" s="7" t="s">
        <v>356</v>
      </c>
      <c r="L26" s="21" t="str">
        <f t="shared" si="1"/>
        <v>3х230/400 В, 5 (100) А, 1/2, модули связи: ?</v>
      </c>
      <c r="M26" s="3" t="s">
        <v>347</v>
      </c>
      <c r="N26" s="3" t="s">
        <v>347</v>
      </c>
      <c r="O26" s="27">
        <v>0</v>
      </c>
      <c r="P26" s="3"/>
      <c r="Q26" s="3"/>
      <c r="R26" s="7"/>
      <c r="S26" s="21"/>
    </row>
    <row r="27" spans="1:19" ht="30" x14ac:dyDescent="0.25">
      <c r="A27" s="3" t="s">
        <v>45</v>
      </c>
      <c r="B27" s="7" t="s">
        <v>144</v>
      </c>
      <c r="C27" s="3" t="s">
        <v>118</v>
      </c>
      <c r="D27" s="3" t="s">
        <v>154</v>
      </c>
      <c r="E27" s="3" t="s">
        <v>352</v>
      </c>
      <c r="F27" s="3" t="s">
        <v>337</v>
      </c>
      <c r="G27" s="3" t="s">
        <v>339</v>
      </c>
      <c r="H27" s="3" t="s">
        <v>340</v>
      </c>
      <c r="I27" s="3" t="s">
        <v>341</v>
      </c>
      <c r="J27" s="3" t="s">
        <v>344</v>
      </c>
      <c r="K27" s="7" t="s">
        <v>356</v>
      </c>
      <c r="L27" s="21" t="str">
        <f t="shared" si="1"/>
        <v>3х230/400 В, 5 (100) А, 1/2, модули связи: ?</v>
      </c>
      <c r="M27" s="3" t="s">
        <v>347</v>
      </c>
      <c r="N27" s="3" t="s">
        <v>347</v>
      </c>
      <c r="O27" s="27">
        <v>0</v>
      </c>
      <c r="P27" s="3"/>
      <c r="Q27" s="3"/>
      <c r="R27" s="7"/>
      <c r="S27" s="21"/>
    </row>
    <row r="28" spans="1:19" ht="30" x14ac:dyDescent="0.25">
      <c r="A28" s="3" t="s">
        <v>46</v>
      </c>
      <c r="B28" s="7" t="s">
        <v>145</v>
      </c>
      <c r="C28" s="3" t="s">
        <v>118</v>
      </c>
      <c r="D28" s="3" t="s">
        <v>154</v>
      </c>
      <c r="E28" s="3" t="s">
        <v>352</v>
      </c>
      <c r="F28" s="3" t="s">
        <v>337</v>
      </c>
      <c r="G28" s="3" t="s">
        <v>339</v>
      </c>
      <c r="H28" s="3" t="s">
        <v>340</v>
      </c>
      <c r="I28" s="3" t="s">
        <v>341</v>
      </c>
      <c r="J28" s="3" t="s">
        <v>344</v>
      </c>
      <c r="K28" s="7" t="s">
        <v>356</v>
      </c>
      <c r="L28" s="21" t="str">
        <f t="shared" si="1"/>
        <v>3х230/400 В, 5 (100) А, 1/2, модули связи: ?</v>
      </c>
      <c r="M28" s="3" t="s">
        <v>347</v>
      </c>
      <c r="N28" s="3" t="s">
        <v>347</v>
      </c>
      <c r="O28" s="27">
        <v>0</v>
      </c>
      <c r="P28" s="3"/>
      <c r="Q28" s="3"/>
      <c r="R28" s="7"/>
      <c r="S28" s="21"/>
    </row>
    <row r="29" spans="1:19" ht="30" x14ac:dyDescent="0.25">
      <c r="A29" s="3" t="s">
        <v>47</v>
      </c>
      <c r="B29" s="7" t="s">
        <v>146</v>
      </c>
      <c r="C29" s="3" t="s">
        <v>118</v>
      </c>
      <c r="D29" s="3" t="s">
        <v>154</v>
      </c>
      <c r="E29" s="3" t="s">
        <v>352</v>
      </c>
      <c r="F29" s="3" t="s">
        <v>337</v>
      </c>
      <c r="G29" s="3" t="s">
        <v>339</v>
      </c>
      <c r="H29" s="3" t="s">
        <v>340</v>
      </c>
      <c r="I29" s="3" t="s">
        <v>341</v>
      </c>
      <c r="J29" s="3" t="s">
        <v>344</v>
      </c>
      <c r="K29" s="7" t="s">
        <v>356</v>
      </c>
      <c r="L29" s="21" t="str">
        <f t="shared" si="1"/>
        <v>3х230/400 В, 5 (100) А, 1/2, модули связи: ?</v>
      </c>
      <c r="M29" s="3" t="s">
        <v>347</v>
      </c>
      <c r="N29" s="3" t="s">
        <v>347</v>
      </c>
      <c r="O29" s="27">
        <v>0</v>
      </c>
      <c r="P29" s="3"/>
      <c r="Q29" s="3"/>
      <c r="R29" s="7"/>
      <c r="S29" s="21"/>
    </row>
    <row r="30" spans="1:19" ht="30" x14ac:dyDescent="0.25">
      <c r="A30" s="3" t="s">
        <v>48</v>
      </c>
      <c r="B30" s="7" t="s">
        <v>147</v>
      </c>
      <c r="C30" s="3" t="s">
        <v>118</v>
      </c>
      <c r="D30" s="3" t="s">
        <v>154</v>
      </c>
      <c r="E30" s="3" t="s">
        <v>352</v>
      </c>
      <c r="F30" s="3" t="s">
        <v>337</v>
      </c>
      <c r="G30" s="3" t="s">
        <v>339</v>
      </c>
      <c r="H30" s="3" t="s">
        <v>340</v>
      </c>
      <c r="I30" s="3" t="s">
        <v>341</v>
      </c>
      <c r="J30" s="3" t="s">
        <v>344</v>
      </c>
      <c r="K30" s="7" t="s">
        <v>356</v>
      </c>
      <c r="L30" s="21" t="str">
        <f t="shared" si="1"/>
        <v>3х230/400 В, 5 (100) А, 1/2, модули связи: ?</v>
      </c>
      <c r="M30" s="3" t="s">
        <v>347</v>
      </c>
      <c r="N30" s="3" t="s">
        <v>347</v>
      </c>
      <c r="O30" s="27">
        <v>0</v>
      </c>
      <c r="P30" s="3"/>
      <c r="Q30" s="3"/>
      <c r="R30" s="7"/>
      <c r="S30" s="21"/>
    </row>
    <row r="31" spans="1:19" ht="30" x14ac:dyDescent="0.25">
      <c r="A31" s="3" t="s">
        <v>49</v>
      </c>
      <c r="B31" s="7" t="s">
        <v>148</v>
      </c>
      <c r="C31" s="3" t="s">
        <v>118</v>
      </c>
      <c r="D31" s="3" t="s">
        <v>154</v>
      </c>
      <c r="E31" s="3" t="s">
        <v>352</v>
      </c>
      <c r="F31" s="3" t="s">
        <v>337</v>
      </c>
      <c r="G31" s="3" t="s">
        <v>339</v>
      </c>
      <c r="H31" s="3" t="s">
        <v>340</v>
      </c>
      <c r="I31" s="3" t="s">
        <v>341</v>
      </c>
      <c r="J31" s="3" t="s">
        <v>344</v>
      </c>
      <c r="K31" s="7" t="s">
        <v>94</v>
      </c>
      <c r="L31" s="21" t="str">
        <f t="shared" si="1"/>
        <v>3х230/400 В, 5 (100) А, 1/2, модули связи: MC.3-S-G</v>
      </c>
      <c r="M31" s="3" t="s">
        <v>347</v>
      </c>
      <c r="N31" s="3" t="s">
        <v>347</v>
      </c>
      <c r="O31" s="27">
        <v>0</v>
      </c>
      <c r="P31" s="3"/>
      <c r="Q31" s="3"/>
      <c r="R31" s="7"/>
      <c r="S31" s="21"/>
    </row>
    <row r="32" spans="1:19" ht="30" x14ac:dyDescent="0.25">
      <c r="A32" s="3" t="s">
        <v>50</v>
      </c>
      <c r="B32" s="7" t="s">
        <v>149</v>
      </c>
      <c r="C32" s="3" t="s">
        <v>118</v>
      </c>
      <c r="D32" s="3" t="s">
        <v>154</v>
      </c>
      <c r="E32" s="3" t="s">
        <v>352</v>
      </c>
      <c r="F32" s="3" t="s">
        <v>337</v>
      </c>
      <c r="G32" s="3" t="s">
        <v>339</v>
      </c>
      <c r="H32" s="3" t="s">
        <v>340</v>
      </c>
      <c r="I32" s="3" t="s">
        <v>341</v>
      </c>
      <c r="J32" s="3" t="s">
        <v>344</v>
      </c>
      <c r="K32" s="7" t="s">
        <v>356</v>
      </c>
      <c r="L32" s="21" t="str">
        <f t="shared" si="1"/>
        <v>3х230/400 В, 5 (100) А, 1/2, модули связи: ?</v>
      </c>
      <c r="M32" s="3" t="s">
        <v>347</v>
      </c>
      <c r="N32" s="3" t="s">
        <v>347</v>
      </c>
      <c r="O32" s="27">
        <v>0</v>
      </c>
      <c r="P32" s="3"/>
      <c r="Q32" s="3"/>
      <c r="R32" s="7"/>
      <c r="S32" s="21"/>
    </row>
    <row r="33" spans="1:19" ht="45" x14ac:dyDescent="0.25">
      <c r="A33" s="3" t="s">
        <v>51</v>
      </c>
      <c r="B33" s="7" t="s">
        <v>150</v>
      </c>
      <c r="C33" s="3" t="s">
        <v>118</v>
      </c>
      <c r="D33" s="3" t="s">
        <v>154</v>
      </c>
      <c r="E33" s="3" t="s">
        <v>352</v>
      </c>
      <c r="F33" s="3" t="s">
        <v>337</v>
      </c>
      <c r="G33" s="3" t="s">
        <v>339</v>
      </c>
      <c r="H33" s="3" t="s">
        <v>340</v>
      </c>
      <c r="I33" s="3" t="s">
        <v>341</v>
      </c>
      <c r="J33" s="3" t="s">
        <v>344</v>
      </c>
      <c r="K33" s="7" t="s">
        <v>348</v>
      </c>
      <c r="L33" s="21" t="str">
        <f t="shared" si="1"/>
        <v>3х230/400 В, 5 (100) А, 1/2, модули связи: MC.3-P-G,MC.3-P-G1</v>
      </c>
      <c r="M33" s="3" t="s">
        <v>347</v>
      </c>
      <c r="N33" s="3" t="s">
        <v>347</v>
      </c>
      <c r="O33" s="27">
        <v>0</v>
      </c>
      <c r="P33" s="3"/>
      <c r="Q33" s="3"/>
      <c r="R33" s="7"/>
      <c r="S33" s="21"/>
    </row>
    <row r="34" spans="1:19" ht="45" x14ac:dyDescent="0.25">
      <c r="A34" s="3" t="s">
        <v>52</v>
      </c>
      <c r="B34" s="7" t="s">
        <v>151</v>
      </c>
      <c r="C34" s="3" t="s">
        <v>118</v>
      </c>
      <c r="D34" s="3" t="s">
        <v>154</v>
      </c>
      <c r="E34" s="3" t="s">
        <v>352</v>
      </c>
      <c r="F34" s="3" t="s">
        <v>337</v>
      </c>
      <c r="G34" s="3" t="s">
        <v>339</v>
      </c>
      <c r="H34" s="3" t="s">
        <v>340</v>
      </c>
      <c r="I34" s="3" t="s">
        <v>341</v>
      </c>
      <c r="J34" s="3" t="s">
        <v>344</v>
      </c>
      <c r="K34" s="7" t="s">
        <v>348</v>
      </c>
      <c r="L34" s="21" t="str">
        <f t="shared" si="1"/>
        <v>3х230/400 В, 5 (100) А, 1/2, модули связи: MC.3-P-G,MC.3-P-G1</v>
      </c>
      <c r="M34" s="3" t="s">
        <v>363</v>
      </c>
      <c r="N34" s="3" t="s">
        <v>362</v>
      </c>
      <c r="O34" s="27">
        <v>0</v>
      </c>
      <c r="P34" s="3"/>
      <c r="Q34" s="4" t="s">
        <v>19</v>
      </c>
      <c r="R34" s="7" t="s">
        <v>53</v>
      </c>
      <c r="S34" s="21"/>
    </row>
    <row r="35" spans="1:19" ht="60" x14ac:dyDescent="0.25">
      <c r="A35" s="3" t="s">
        <v>54</v>
      </c>
      <c r="B35" s="7" t="s">
        <v>374</v>
      </c>
      <c r="C35" s="3" t="s">
        <v>118</v>
      </c>
      <c r="D35" s="3" t="s">
        <v>155</v>
      </c>
      <c r="E35" s="3" t="s">
        <v>379</v>
      </c>
      <c r="F35" s="3" t="s">
        <v>337</v>
      </c>
      <c r="G35" s="3" t="s">
        <v>353</v>
      </c>
      <c r="H35" s="3" t="s">
        <v>366</v>
      </c>
      <c r="I35" s="3" t="s">
        <v>367</v>
      </c>
      <c r="J35" s="3" t="s">
        <v>344</v>
      </c>
      <c r="K35" s="7" t="s">
        <v>349</v>
      </c>
      <c r="L35" s="21" t="str">
        <f t="shared" si="1"/>
        <v>3х57,7/100…3х230/400 В, 5 (10) А, 0,2S/0,5, модули связи: MC.3-P-G,MC.3-P-G1,MC.3T-P-G</v>
      </c>
      <c r="M35" s="3" t="s">
        <v>347</v>
      </c>
      <c r="N35" s="3" t="s">
        <v>347</v>
      </c>
      <c r="O35" s="27">
        <v>0</v>
      </c>
      <c r="P35" s="3"/>
      <c r="Q35" s="3"/>
      <c r="R35" s="7"/>
      <c r="S35" s="21"/>
    </row>
    <row r="36" spans="1:19" ht="60" x14ac:dyDescent="0.25">
      <c r="A36" s="3" t="s">
        <v>55</v>
      </c>
      <c r="B36" s="7" t="s">
        <v>375</v>
      </c>
      <c r="C36" s="3" t="s">
        <v>118</v>
      </c>
      <c r="D36" s="3" t="s">
        <v>155</v>
      </c>
      <c r="E36" s="3" t="s">
        <v>379</v>
      </c>
      <c r="F36" s="3" t="s">
        <v>337</v>
      </c>
      <c r="G36" s="3" t="s">
        <v>353</v>
      </c>
      <c r="H36" s="3" t="s">
        <v>366</v>
      </c>
      <c r="I36" s="3" t="s">
        <v>367</v>
      </c>
      <c r="J36" s="3" t="s">
        <v>344</v>
      </c>
      <c r="K36" s="7" t="s">
        <v>349</v>
      </c>
      <c r="L36" s="21" t="str">
        <f t="shared" si="1"/>
        <v>3х57,7/100…3х230/400 В, 5 (10) А, 0,2S/0,5, модули связи: MC.3-P-G,MC.3-P-G1,MC.3T-P-G</v>
      </c>
      <c r="M36" s="3" t="s">
        <v>347</v>
      </c>
      <c r="N36" s="3" t="s">
        <v>347</v>
      </c>
      <c r="O36" s="27">
        <v>0</v>
      </c>
      <c r="P36" s="3"/>
      <c r="Q36" s="3"/>
      <c r="R36" s="7"/>
      <c r="S36" s="21"/>
    </row>
    <row r="37" spans="1:19" ht="60" x14ac:dyDescent="0.25">
      <c r="A37" s="3" t="s">
        <v>56</v>
      </c>
      <c r="B37" s="7" t="s">
        <v>376</v>
      </c>
      <c r="C37" s="3" t="s">
        <v>118</v>
      </c>
      <c r="D37" s="3" t="s">
        <v>155</v>
      </c>
      <c r="E37" s="3" t="s">
        <v>379</v>
      </c>
      <c r="F37" s="3" t="s">
        <v>337</v>
      </c>
      <c r="G37" s="3" t="s">
        <v>353</v>
      </c>
      <c r="H37" s="3" t="s">
        <v>354</v>
      </c>
      <c r="I37" s="3" t="s">
        <v>340</v>
      </c>
      <c r="J37" s="3" t="s">
        <v>344</v>
      </c>
      <c r="K37" s="7" t="s">
        <v>349</v>
      </c>
      <c r="L37" s="21" t="str">
        <f t="shared" si="1"/>
        <v>3х57,7/100…3х230/400 В, 5 (10) А, 0,5S/1, модули связи: MC.3-P-G,MC.3-P-G1,MC.3T-P-G</v>
      </c>
      <c r="M37" s="3" t="s">
        <v>347</v>
      </c>
      <c r="N37" s="3" t="s">
        <v>347</v>
      </c>
      <c r="O37" s="27">
        <v>0</v>
      </c>
      <c r="P37" s="3"/>
      <c r="Q37" s="3"/>
      <c r="R37" s="7"/>
      <c r="S37" s="21"/>
    </row>
    <row r="38" spans="1:19" ht="60" x14ac:dyDescent="0.25">
      <c r="A38" s="3" t="s">
        <v>57</v>
      </c>
      <c r="B38" s="7" t="s">
        <v>377</v>
      </c>
      <c r="C38" s="3" t="s">
        <v>118</v>
      </c>
      <c r="D38" s="3" t="s">
        <v>155</v>
      </c>
      <c r="E38" s="3" t="s">
        <v>379</v>
      </c>
      <c r="F38" s="3" t="s">
        <v>337</v>
      </c>
      <c r="G38" s="3" t="s">
        <v>353</v>
      </c>
      <c r="H38" s="3" t="s">
        <v>354</v>
      </c>
      <c r="I38" s="3" t="s">
        <v>340</v>
      </c>
      <c r="J38" s="3" t="s">
        <v>344</v>
      </c>
      <c r="K38" s="7" t="s">
        <v>349</v>
      </c>
      <c r="L38" s="21" t="str">
        <f t="shared" si="1"/>
        <v>3х57,7/100…3х230/400 В, 5 (10) А, 0,5S/1, модули связи: MC.3-P-G,MC.3-P-G1,MC.3T-P-G</v>
      </c>
      <c r="M38" s="3" t="s">
        <v>371</v>
      </c>
      <c r="N38" s="3" t="s">
        <v>372</v>
      </c>
      <c r="O38" s="27">
        <v>0</v>
      </c>
      <c r="P38" s="3"/>
      <c r="Q38" s="4" t="s">
        <v>19</v>
      </c>
      <c r="R38" s="7" t="s">
        <v>58</v>
      </c>
      <c r="S38" s="21"/>
    </row>
    <row r="39" spans="1:19" x14ac:dyDescent="0.25">
      <c r="A39" s="3" t="s">
        <v>59</v>
      </c>
      <c r="B39" s="7" t="s">
        <v>321</v>
      </c>
      <c r="C39" s="3" t="s">
        <v>121</v>
      </c>
      <c r="D39" s="3" t="s">
        <v>157</v>
      </c>
      <c r="E39" s="3"/>
      <c r="F39" s="3"/>
      <c r="G39" s="3"/>
      <c r="H39" s="3"/>
      <c r="I39" s="3"/>
      <c r="J39" s="3"/>
      <c r="K39" s="7"/>
      <c r="L39" s="21"/>
      <c r="M39" s="3"/>
      <c r="N39" s="3"/>
      <c r="O39" s="27"/>
      <c r="P39" s="3"/>
      <c r="Q39" s="3"/>
      <c r="R39" s="7"/>
      <c r="S39" s="21"/>
    </row>
    <row r="40" spans="1:19" x14ac:dyDescent="0.25">
      <c r="A40" s="3" t="s">
        <v>60</v>
      </c>
      <c r="B40" s="7" t="s">
        <v>322</v>
      </c>
      <c r="C40" s="3" t="s">
        <v>121</v>
      </c>
      <c r="D40" s="3" t="s">
        <v>157</v>
      </c>
      <c r="E40" s="3"/>
      <c r="F40" s="3"/>
      <c r="G40" s="3"/>
      <c r="H40" s="3"/>
      <c r="I40" s="3"/>
      <c r="J40" s="3"/>
      <c r="K40" s="7"/>
      <c r="L40" s="21"/>
      <c r="M40" s="3"/>
      <c r="N40" s="3"/>
      <c r="O40" s="27"/>
      <c r="P40" s="3"/>
      <c r="Q40" s="3"/>
      <c r="R40" s="7"/>
      <c r="S40" s="21"/>
    </row>
    <row r="41" spans="1:19" x14ac:dyDescent="0.25">
      <c r="A41" s="3" t="s">
        <v>61</v>
      </c>
      <c r="B41" s="7" t="s">
        <v>323</v>
      </c>
      <c r="C41" s="3" t="s">
        <v>121</v>
      </c>
      <c r="D41" s="3" t="s">
        <v>157</v>
      </c>
      <c r="E41" s="3"/>
      <c r="F41" s="3"/>
      <c r="G41" s="3"/>
      <c r="H41" s="3"/>
      <c r="I41" s="3"/>
      <c r="J41" s="3"/>
      <c r="K41" s="7"/>
      <c r="L41" s="21"/>
      <c r="M41" s="3"/>
      <c r="N41" s="3"/>
      <c r="O41" s="27"/>
      <c r="P41" s="3"/>
      <c r="Q41" s="3"/>
      <c r="R41" s="7"/>
      <c r="S41" s="21"/>
    </row>
    <row r="42" spans="1:19" x14ac:dyDescent="0.25">
      <c r="A42" s="3" t="s">
        <v>62</v>
      </c>
      <c r="B42" s="7" t="s">
        <v>324</v>
      </c>
      <c r="C42" s="3" t="s">
        <v>121</v>
      </c>
      <c r="D42" s="3" t="s">
        <v>157</v>
      </c>
      <c r="E42" s="3"/>
      <c r="F42" s="3"/>
      <c r="G42" s="3"/>
      <c r="H42" s="3"/>
      <c r="I42" s="3"/>
      <c r="J42" s="3"/>
      <c r="K42" s="7"/>
      <c r="L42" s="21"/>
      <c r="M42" s="3"/>
      <c r="N42" s="3"/>
      <c r="O42" s="27"/>
      <c r="P42" s="3"/>
      <c r="Q42" s="3"/>
      <c r="R42" s="7"/>
      <c r="S42" s="21"/>
    </row>
    <row r="43" spans="1:19" ht="30" x14ac:dyDescent="0.25">
      <c r="A43" s="3" t="s">
        <v>63</v>
      </c>
      <c r="B43" s="7" t="s">
        <v>325</v>
      </c>
      <c r="C43" s="3" t="s">
        <v>121</v>
      </c>
      <c r="D43" s="3" t="s">
        <v>157</v>
      </c>
      <c r="E43" s="3"/>
      <c r="F43" s="3"/>
      <c r="G43" s="3"/>
      <c r="H43" s="3"/>
      <c r="I43" s="3"/>
      <c r="J43" s="3"/>
      <c r="K43" s="7"/>
      <c r="L43" s="21"/>
      <c r="M43" s="3"/>
      <c r="N43" s="3"/>
      <c r="O43" s="27"/>
      <c r="P43" s="3"/>
      <c r="Q43" s="4" t="s">
        <v>19</v>
      </c>
      <c r="R43" s="7" t="s">
        <v>64</v>
      </c>
      <c r="S43" s="21"/>
    </row>
    <row r="44" spans="1:19" x14ac:dyDescent="0.25">
      <c r="A44" s="3" t="s">
        <v>65</v>
      </c>
      <c r="B44" s="7" t="s">
        <v>326</v>
      </c>
      <c r="C44" s="3" t="s">
        <v>121</v>
      </c>
      <c r="D44" s="3" t="s">
        <v>157</v>
      </c>
      <c r="E44" s="3"/>
      <c r="F44" s="3"/>
      <c r="G44" s="3"/>
      <c r="H44" s="3"/>
      <c r="I44" s="3"/>
      <c r="J44" s="3"/>
      <c r="K44" s="7"/>
      <c r="L44" s="21"/>
      <c r="M44" s="3"/>
      <c r="N44" s="3"/>
      <c r="O44" s="27"/>
      <c r="P44" s="3"/>
      <c r="Q44" s="3"/>
      <c r="R44" s="7"/>
      <c r="S44" s="21"/>
    </row>
    <row r="45" spans="1:19" x14ac:dyDescent="0.25">
      <c r="A45" s="3" t="s">
        <v>66</v>
      </c>
      <c r="B45" s="7" t="s">
        <v>327</v>
      </c>
      <c r="C45" s="3" t="s">
        <v>121</v>
      </c>
      <c r="D45" s="3" t="s">
        <v>157</v>
      </c>
      <c r="E45" s="3"/>
      <c r="F45" s="3"/>
      <c r="G45" s="3"/>
      <c r="H45" s="3"/>
      <c r="I45" s="3"/>
      <c r="J45" s="3"/>
      <c r="K45" s="7"/>
      <c r="L45" s="21"/>
      <c r="M45" s="3"/>
      <c r="N45" s="3"/>
      <c r="O45" s="27"/>
      <c r="P45" s="3"/>
      <c r="Q45" s="3"/>
      <c r="R45" s="7"/>
      <c r="S45" s="21"/>
    </row>
    <row r="46" spans="1:19" x14ac:dyDescent="0.25">
      <c r="A46" s="3" t="s">
        <v>67</v>
      </c>
      <c r="B46" s="7" t="s">
        <v>328</v>
      </c>
      <c r="C46" s="3" t="s">
        <v>121</v>
      </c>
      <c r="D46" s="3" t="s">
        <v>157</v>
      </c>
      <c r="E46" s="3"/>
      <c r="F46" s="3"/>
      <c r="G46" s="3"/>
      <c r="H46" s="3"/>
      <c r="I46" s="3"/>
      <c r="J46" s="3"/>
      <c r="K46" s="7"/>
      <c r="L46" s="21"/>
      <c r="M46" s="3"/>
      <c r="N46" s="3"/>
      <c r="O46" s="27"/>
      <c r="P46" s="3"/>
      <c r="Q46" s="3"/>
      <c r="R46" s="7"/>
      <c r="S46" s="21"/>
    </row>
    <row r="47" spans="1:19" x14ac:dyDescent="0.25">
      <c r="A47" s="3" t="s">
        <v>68</v>
      </c>
      <c r="B47" s="7" t="s">
        <v>69</v>
      </c>
      <c r="C47" s="3" t="s">
        <v>121</v>
      </c>
      <c r="D47" s="3" t="s">
        <v>158</v>
      </c>
      <c r="E47" s="3"/>
      <c r="F47" s="3"/>
      <c r="G47" s="3"/>
      <c r="H47" s="3"/>
      <c r="I47" s="3"/>
      <c r="J47" s="3"/>
      <c r="K47" s="7"/>
      <c r="L47" s="21"/>
      <c r="M47" s="3"/>
      <c r="N47" s="3"/>
      <c r="O47" s="27"/>
      <c r="P47" s="3"/>
      <c r="Q47" s="3"/>
      <c r="R47" s="7"/>
      <c r="S47" s="21"/>
    </row>
    <row r="48" spans="1:19" x14ac:dyDescent="0.25">
      <c r="A48" s="3" t="s">
        <v>70</v>
      </c>
      <c r="B48" s="7" t="s">
        <v>71</v>
      </c>
      <c r="C48" s="3" t="s">
        <v>121</v>
      </c>
      <c r="D48" s="3" t="s">
        <v>158</v>
      </c>
      <c r="E48" s="3"/>
      <c r="F48" s="3"/>
      <c r="G48" s="3"/>
      <c r="H48" s="3"/>
      <c r="I48" s="3"/>
      <c r="J48" s="3"/>
      <c r="K48" s="7"/>
      <c r="L48" s="21"/>
      <c r="M48" s="3"/>
      <c r="N48" s="3"/>
      <c r="O48" s="27"/>
      <c r="P48" s="3"/>
      <c r="Q48" s="3"/>
      <c r="R48" s="7"/>
      <c r="S48" s="21"/>
    </row>
    <row r="49" spans="1:19" x14ac:dyDescent="0.25">
      <c r="A49" s="3" t="s">
        <v>72</v>
      </c>
      <c r="B49" s="7" t="s">
        <v>73</v>
      </c>
      <c r="C49" s="3" t="s">
        <v>121</v>
      </c>
      <c r="D49" s="3" t="s">
        <v>158</v>
      </c>
      <c r="E49" s="3"/>
      <c r="F49" s="3"/>
      <c r="G49" s="3"/>
      <c r="H49" s="3"/>
      <c r="I49" s="3"/>
      <c r="J49" s="3"/>
      <c r="K49" s="7"/>
      <c r="L49" s="21"/>
      <c r="M49" s="3"/>
      <c r="N49" s="3"/>
      <c r="O49" s="27"/>
      <c r="P49" s="3"/>
      <c r="Q49" s="3"/>
      <c r="R49" s="7"/>
      <c r="S49" s="21"/>
    </row>
    <row r="50" spans="1:19" x14ac:dyDescent="0.25">
      <c r="A50" s="3" t="s">
        <v>74</v>
      </c>
      <c r="B50" s="7" t="s">
        <v>75</v>
      </c>
      <c r="C50" s="3" t="s">
        <v>121</v>
      </c>
      <c r="D50" s="3" t="s">
        <v>158</v>
      </c>
      <c r="E50" s="3"/>
      <c r="F50" s="3"/>
      <c r="G50" s="3"/>
      <c r="H50" s="3"/>
      <c r="I50" s="3"/>
      <c r="J50" s="3"/>
      <c r="K50" s="7"/>
      <c r="L50" s="21"/>
      <c r="M50" s="3"/>
      <c r="N50" s="3"/>
      <c r="O50" s="27"/>
      <c r="P50" s="3"/>
      <c r="Q50" s="3"/>
      <c r="R50" s="7"/>
      <c r="S50" s="21"/>
    </row>
    <row r="51" spans="1:19" ht="30" x14ac:dyDescent="0.25">
      <c r="A51" s="3" t="s">
        <v>76</v>
      </c>
      <c r="B51" s="7" t="s">
        <v>77</v>
      </c>
      <c r="C51" s="3" t="s">
        <v>121</v>
      </c>
      <c r="D51" s="3" t="s">
        <v>158</v>
      </c>
      <c r="E51" s="3"/>
      <c r="F51" s="3"/>
      <c r="G51" s="3"/>
      <c r="H51" s="3"/>
      <c r="I51" s="3"/>
      <c r="J51" s="3"/>
      <c r="K51" s="7"/>
      <c r="L51" s="21"/>
      <c r="M51" s="3"/>
      <c r="N51" s="3"/>
      <c r="O51" s="27"/>
      <c r="P51" s="3"/>
      <c r="Q51" s="4" t="s">
        <v>19</v>
      </c>
      <c r="R51" s="7" t="s">
        <v>78</v>
      </c>
      <c r="S51" s="21"/>
    </row>
    <row r="52" spans="1:19" x14ac:dyDescent="0.25">
      <c r="A52" s="3" t="s">
        <v>79</v>
      </c>
      <c r="B52" s="7" t="s">
        <v>80</v>
      </c>
      <c r="C52" s="3" t="s">
        <v>121</v>
      </c>
      <c r="D52" s="3" t="s">
        <v>158</v>
      </c>
      <c r="E52" s="3"/>
      <c r="F52" s="3"/>
      <c r="G52" s="3"/>
      <c r="H52" s="3"/>
      <c r="I52" s="3"/>
      <c r="J52" s="3"/>
      <c r="K52" s="7"/>
      <c r="L52" s="21"/>
      <c r="M52" s="3"/>
      <c r="N52" s="3"/>
      <c r="O52" s="27"/>
      <c r="P52" s="3"/>
      <c r="Q52" s="3"/>
      <c r="R52" s="7"/>
      <c r="S52" s="21"/>
    </row>
    <row r="53" spans="1:19" x14ac:dyDescent="0.25">
      <c r="A53" s="3" t="s">
        <v>81</v>
      </c>
      <c r="B53" s="7" t="s">
        <v>82</v>
      </c>
      <c r="C53" s="3" t="s">
        <v>121</v>
      </c>
      <c r="D53" s="3" t="s">
        <v>158</v>
      </c>
      <c r="E53" s="3"/>
      <c r="F53" s="3"/>
      <c r="G53" s="3"/>
      <c r="H53" s="3"/>
      <c r="I53" s="3"/>
      <c r="J53" s="3"/>
      <c r="K53" s="7"/>
      <c r="L53" s="21"/>
      <c r="M53" s="3"/>
      <c r="N53" s="3"/>
      <c r="O53" s="27"/>
      <c r="P53" s="3"/>
      <c r="Q53" s="3"/>
      <c r="R53" s="7"/>
      <c r="S53" s="21"/>
    </row>
    <row r="54" spans="1:19" x14ac:dyDescent="0.25">
      <c r="A54" s="3" t="s">
        <v>83</v>
      </c>
      <c r="B54" s="7" t="s">
        <v>84</v>
      </c>
      <c r="C54" s="3" t="s">
        <v>121</v>
      </c>
      <c r="D54" s="3" t="s">
        <v>158</v>
      </c>
      <c r="E54" s="3"/>
      <c r="F54" s="3"/>
      <c r="G54" s="3"/>
      <c r="H54" s="3"/>
      <c r="I54" s="3"/>
      <c r="J54" s="3"/>
      <c r="K54" s="7"/>
      <c r="L54" s="21"/>
      <c r="M54" s="3"/>
      <c r="N54" s="3"/>
      <c r="O54" s="27"/>
      <c r="P54" s="3"/>
      <c r="Q54" s="3"/>
      <c r="R54" s="7"/>
      <c r="S54" s="21"/>
    </row>
    <row r="55" spans="1:19" ht="30" x14ac:dyDescent="0.25">
      <c r="A55" s="3" t="s">
        <v>85</v>
      </c>
      <c r="B55" s="7" t="s">
        <v>283</v>
      </c>
      <c r="C55" s="3" t="s">
        <v>121</v>
      </c>
      <c r="D55" s="3" t="s">
        <v>156</v>
      </c>
      <c r="E55" s="3"/>
      <c r="F55" s="3"/>
      <c r="G55" s="3"/>
      <c r="H55" s="3"/>
      <c r="I55" s="3"/>
      <c r="J55" s="3"/>
      <c r="K55" s="7"/>
      <c r="L55" s="21"/>
      <c r="M55" s="3"/>
      <c r="N55" s="3"/>
      <c r="O55" s="27"/>
      <c r="P55" s="3"/>
      <c r="Q55" s="4" t="s">
        <v>19</v>
      </c>
      <c r="R55" s="7" t="s">
        <v>86</v>
      </c>
      <c r="S55" s="21"/>
    </row>
    <row r="56" spans="1:19" x14ac:dyDescent="0.25">
      <c r="A56" s="3" t="s">
        <v>87</v>
      </c>
      <c r="B56" s="7" t="s">
        <v>329</v>
      </c>
      <c r="C56" s="3" t="s">
        <v>121</v>
      </c>
      <c r="D56" s="3" t="s">
        <v>159</v>
      </c>
      <c r="E56" s="3"/>
      <c r="F56" s="3"/>
      <c r="G56" s="3"/>
      <c r="H56" s="3"/>
      <c r="I56" s="3"/>
      <c r="J56" s="3"/>
      <c r="K56" s="7"/>
      <c r="L56" s="21"/>
      <c r="M56" s="3"/>
      <c r="N56" s="3"/>
      <c r="O56" s="27"/>
      <c r="P56" s="3"/>
      <c r="Q56" s="3" t="s">
        <v>88</v>
      </c>
      <c r="R56" s="7" t="s">
        <v>89</v>
      </c>
      <c r="S56" s="21"/>
    </row>
    <row r="57" spans="1:19" ht="30" x14ac:dyDescent="0.25">
      <c r="A57" s="3" t="s">
        <v>90</v>
      </c>
      <c r="B57" s="7" t="s">
        <v>91</v>
      </c>
      <c r="C57" s="3" t="s">
        <v>121</v>
      </c>
      <c r="D57" s="3" t="s">
        <v>161</v>
      </c>
      <c r="E57" s="3"/>
      <c r="F57" s="3"/>
      <c r="G57" s="3"/>
      <c r="H57" s="3"/>
      <c r="I57" s="3"/>
      <c r="J57" s="3"/>
      <c r="K57" s="7"/>
      <c r="L57" s="21"/>
      <c r="M57" s="3"/>
      <c r="N57" s="3"/>
      <c r="O57" s="27"/>
      <c r="P57" s="3"/>
      <c r="Q57" s="5" t="s">
        <v>23</v>
      </c>
      <c r="R57" s="7" t="s">
        <v>92</v>
      </c>
      <c r="S57" s="21"/>
    </row>
    <row r="58" spans="1:19" ht="30" x14ac:dyDescent="0.25">
      <c r="A58" s="3" t="s">
        <v>93</v>
      </c>
      <c r="B58" s="7" t="s">
        <v>94</v>
      </c>
      <c r="C58" s="3" t="s">
        <v>121</v>
      </c>
      <c r="D58" s="3" t="s">
        <v>162</v>
      </c>
      <c r="E58" s="20"/>
      <c r="F58" s="3"/>
      <c r="G58" s="3"/>
      <c r="H58" s="3"/>
      <c r="I58" s="3"/>
      <c r="J58" s="3"/>
      <c r="K58" s="7"/>
      <c r="L58" s="21"/>
      <c r="M58" s="3"/>
      <c r="N58" s="3"/>
      <c r="O58" s="27"/>
      <c r="P58" s="3"/>
      <c r="Q58" s="5" t="s">
        <v>23</v>
      </c>
      <c r="R58" s="7" t="s">
        <v>95</v>
      </c>
      <c r="S58" s="21"/>
    </row>
    <row r="59" spans="1:19" x14ac:dyDescent="0.25">
      <c r="A59" s="3" t="s">
        <v>96</v>
      </c>
      <c r="B59" s="7" t="s">
        <v>97</v>
      </c>
      <c r="C59" s="3" t="s">
        <v>121</v>
      </c>
      <c r="D59" s="3" t="s">
        <v>160</v>
      </c>
      <c r="E59" s="20"/>
      <c r="F59" s="3"/>
      <c r="G59" s="3"/>
      <c r="H59" s="3"/>
      <c r="I59" s="3"/>
      <c r="J59" s="3"/>
      <c r="K59" s="7"/>
      <c r="L59" s="21"/>
      <c r="M59" s="3"/>
      <c r="N59" s="3"/>
      <c r="O59" s="27"/>
      <c r="P59" s="3"/>
      <c r="Q59" s="4" t="s">
        <v>98</v>
      </c>
      <c r="R59" s="7" t="s">
        <v>99</v>
      </c>
      <c r="S59" s="21"/>
    </row>
    <row r="60" spans="1:19" x14ac:dyDescent="0.25">
      <c r="A60" s="3" t="s">
        <v>100</v>
      </c>
      <c r="B60" s="7" t="s">
        <v>101</v>
      </c>
      <c r="C60" s="3" t="s">
        <v>101</v>
      </c>
      <c r="D60" s="3" t="s">
        <v>101</v>
      </c>
      <c r="E60" s="20"/>
      <c r="F60" s="3"/>
      <c r="G60" s="3"/>
      <c r="H60" s="3"/>
      <c r="I60" s="3"/>
      <c r="J60" s="3"/>
      <c r="K60" s="7"/>
      <c r="L60" s="21"/>
      <c r="M60" s="3"/>
      <c r="N60" s="3"/>
      <c r="O60" s="27"/>
      <c r="P60" s="3"/>
      <c r="Q60" s="3"/>
      <c r="R60" s="7"/>
      <c r="S60" s="21"/>
    </row>
    <row r="61" spans="1:19" x14ac:dyDescent="0.25">
      <c r="A61" s="3" t="s">
        <v>102</v>
      </c>
      <c r="B61" s="7" t="s">
        <v>152</v>
      </c>
      <c r="C61" s="3" t="s">
        <v>152</v>
      </c>
      <c r="D61" s="3" t="s">
        <v>152</v>
      </c>
      <c r="E61" s="20"/>
      <c r="F61" s="3"/>
      <c r="G61" s="3"/>
      <c r="H61" s="3"/>
      <c r="I61" s="3"/>
      <c r="J61" s="3"/>
      <c r="K61" s="7"/>
      <c r="L61" s="21"/>
      <c r="M61" s="3"/>
      <c r="N61" s="3"/>
      <c r="O61" s="27"/>
      <c r="P61" s="3"/>
      <c r="Q61" s="3"/>
      <c r="R61" s="7"/>
      <c r="S61" s="21"/>
    </row>
    <row r="62" spans="1:19" ht="30" x14ac:dyDescent="0.25">
      <c r="A62" s="3" t="s">
        <v>103</v>
      </c>
      <c r="B62" s="7" t="s">
        <v>104</v>
      </c>
      <c r="C62" s="3" t="s">
        <v>104</v>
      </c>
      <c r="D62" s="3" t="s">
        <v>104</v>
      </c>
      <c r="E62" s="20"/>
      <c r="F62" s="3"/>
      <c r="G62" s="3"/>
      <c r="H62" s="3"/>
      <c r="I62" s="3"/>
      <c r="J62" s="3"/>
      <c r="K62" s="7"/>
      <c r="L62" s="21"/>
      <c r="M62" s="3"/>
      <c r="N62" s="3"/>
      <c r="O62" s="27"/>
      <c r="P62" s="3"/>
      <c r="Q62" s="3"/>
      <c r="R62" s="7"/>
      <c r="S62" s="21"/>
    </row>
    <row r="63" spans="1:19" ht="46.5" customHeight="1" x14ac:dyDescent="0.25">
      <c r="A63" s="3" t="s">
        <v>105</v>
      </c>
      <c r="B63" s="7" t="s">
        <v>106</v>
      </c>
      <c r="C63" s="3" t="s">
        <v>106</v>
      </c>
      <c r="D63" s="3" t="s">
        <v>106</v>
      </c>
      <c r="E63" s="20"/>
      <c r="F63" s="3"/>
      <c r="G63" s="3"/>
      <c r="H63" s="3"/>
      <c r="I63" s="3"/>
      <c r="J63" s="3"/>
      <c r="K63" s="7"/>
      <c r="L63" s="21"/>
      <c r="M63" s="3"/>
      <c r="N63" s="3"/>
      <c r="O63" s="27"/>
      <c r="P63" s="3"/>
      <c r="Q63" s="3"/>
      <c r="R63" s="7"/>
      <c r="S63" s="21"/>
    </row>
    <row r="64" spans="1:19" ht="90" x14ac:dyDescent="0.25">
      <c r="A64" s="3" t="s">
        <v>107</v>
      </c>
      <c r="B64" s="7" t="s">
        <v>345</v>
      </c>
      <c r="C64" s="3" t="s">
        <v>119</v>
      </c>
      <c r="D64" s="3" t="s">
        <v>108</v>
      </c>
      <c r="E64" s="20"/>
      <c r="F64" s="3"/>
      <c r="G64" s="3"/>
      <c r="H64" s="3"/>
      <c r="I64" s="3"/>
      <c r="J64" s="3"/>
      <c r="K64" s="7"/>
      <c r="L64" s="21"/>
      <c r="M64" s="3"/>
      <c r="N64" s="3"/>
      <c r="O64" s="27"/>
      <c r="P64" s="3"/>
      <c r="Q64" s="3"/>
      <c r="R64" s="7"/>
      <c r="S64" s="21"/>
    </row>
    <row r="65" spans="1:19" x14ac:dyDescent="0.25">
      <c r="A65" s="3" t="s">
        <v>109</v>
      </c>
      <c r="B65" s="7" t="s">
        <v>320</v>
      </c>
      <c r="C65" s="3" t="s">
        <v>120</v>
      </c>
      <c r="D65" s="3" t="s">
        <v>110</v>
      </c>
      <c r="E65" s="20"/>
      <c r="F65" s="3"/>
      <c r="G65" s="3"/>
      <c r="H65" s="3"/>
      <c r="I65" s="3"/>
      <c r="J65" s="3"/>
      <c r="K65" s="7"/>
      <c r="L65" s="21"/>
      <c r="M65" s="3"/>
      <c r="N65" s="3"/>
      <c r="O65" s="27"/>
      <c r="P65" s="3"/>
      <c r="Q65" s="6" t="s">
        <v>111</v>
      </c>
      <c r="R65" s="7"/>
      <c r="S65" s="21"/>
    </row>
    <row r="66" spans="1:19" x14ac:dyDescent="0.25">
      <c r="A66" s="3" t="s">
        <v>112</v>
      </c>
      <c r="B66" s="7" t="s">
        <v>113</v>
      </c>
      <c r="C66" s="3" t="s">
        <v>120</v>
      </c>
      <c r="D66" s="3" t="s">
        <v>113</v>
      </c>
      <c r="E66" s="20"/>
      <c r="F66" s="3"/>
      <c r="G66" s="3"/>
      <c r="H66" s="3"/>
      <c r="I66" s="3"/>
      <c r="J66" s="3"/>
      <c r="K66" s="7"/>
      <c r="L66" s="21"/>
      <c r="M66" s="3"/>
      <c r="N66" s="3"/>
      <c r="O66" s="27"/>
      <c r="P66" s="3"/>
      <c r="Q66" s="3"/>
      <c r="R66" s="7"/>
      <c r="S66" s="21"/>
    </row>
    <row r="67" spans="1:19" x14ac:dyDescent="0.25">
      <c r="A67" s="3" t="s">
        <v>114</v>
      </c>
      <c r="B67" s="7" t="s">
        <v>115</v>
      </c>
      <c r="C67" s="3" t="s">
        <v>120</v>
      </c>
      <c r="D67" s="3" t="s">
        <v>115</v>
      </c>
      <c r="E67" s="20"/>
      <c r="F67" s="3"/>
      <c r="G67" s="3"/>
      <c r="H67" s="3"/>
      <c r="I67" s="3"/>
      <c r="J67" s="3"/>
      <c r="K67" s="7"/>
      <c r="L67" s="21"/>
      <c r="M67" s="3"/>
      <c r="N67" s="3"/>
      <c r="O67" s="27"/>
      <c r="P67" s="3"/>
      <c r="Q67" s="3"/>
      <c r="R67" s="7"/>
      <c r="S67" s="21"/>
    </row>
    <row r="68" spans="1:19" x14ac:dyDescent="0.25">
      <c r="A68" s="3" t="s">
        <v>116</v>
      </c>
      <c r="B68" s="7" t="s">
        <v>117</v>
      </c>
      <c r="C68" s="3" t="s">
        <v>120</v>
      </c>
      <c r="D68" s="3" t="s">
        <v>117</v>
      </c>
      <c r="E68" s="20"/>
      <c r="F68" s="3"/>
      <c r="G68" s="3"/>
      <c r="H68" s="3"/>
      <c r="I68" s="3"/>
      <c r="J68" s="3"/>
      <c r="K68" s="7"/>
      <c r="L68" s="21"/>
      <c r="M68" s="3"/>
      <c r="N68" s="3"/>
      <c r="O68" s="27"/>
      <c r="P68" s="3"/>
      <c r="Q68" s="3"/>
      <c r="R68" s="7"/>
      <c r="S68" s="21"/>
    </row>
  </sheetData>
  <sheetProtection selectLockedCells="1" selectUnlockedCells="1"/>
  <autoFilter ref="A3:R68" xr:uid="{00000000-0009-0000-0000-000003000000}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S68"/>
  <sheetViews>
    <sheetView workbookViewId="0">
      <pane xSplit="2" ySplit="3" topLeftCell="H4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defaultRowHeight="15" x14ac:dyDescent="0.25"/>
  <cols>
    <col min="1" max="1" width="12.140625" style="1" bestFit="1" customWidth="1"/>
    <col min="2" max="2" width="29.7109375" style="8" customWidth="1"/>
    <col min="3" max="3" width="23" style="1" customWidth="1"/>
    <col min="4" max="4" width="15" style="1" customWidth="1"/>
    <col min="5" max="5" width="15.42578125" style="1" customWidth="1"/>
    <col min="6" max="6" width="16.5703125" style="1" customWidth="1"/>
    <col min="7" max="7" width="15.140625" style="1" customWidth="1"/>
    <col min="8" max="8" width="13.7109375" style="1" customWidth="1"/>
    <col min="9" max="10" width="14.42578125" style="1" customWidth="1"/>
    <col min="11" max="11" width="13.7109375" style="8" customWidth="1"/>
    <col min="12" max="12" width="28.5703125" style="24" customWidth="1"/>
    <col min="13" max="14" width="17.42578125" style="1" customWidth="1"/>
    <col min="15" max="15" width="13.7109375" style="10" customWidth="1"/>
    <col min="16" max="16" width="13.7109375" style="1" customWidth="1"/>
    <col min="17" max="17" width="19.7109375" style="1" customWidth="1"/>
    <col min="18" max="18" width="27" style="8" customWidth="1"/>
    <col min="19" max="19" width="41.5703125" style="19" customWidth="1"/>
  </cols>
  <sheetData>
    <row r="1" spans="1:19" x14ac:dyDescent="0.25">
      <c r="A1" s="13" t="s">
        <v>280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9"/>
      <c r="Q1" s="9"/>
      <c r="R1" s="9"/>
      <c r="S1" s="18"/>
    </row>
    <row r="2" spans="1:19" s="11" customFormat="1" x14ac:dyDescent="0.25">
      <c r="A2" s="12">
        <v>1</v>
      </c>
      <c r="B2" s="10">
        <f>A2+1</f>
        <v>2</v>
      </c>
      <c r="C2" s="10">
        <f t="shared" ref="C2:S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si="0"/>
        <v>14</v>
      </c>
      <c r="O2" s="10">
        <f t="shared" si="0"/>
        <v>15</v>
      </c>
      <c r="P2" s="10">
        <f t="shared" si="0"/>
        <v>16</v>
      </c>
      <c r="Q2" s="10">
        <f t="shared" si="0"/>
        <v>17</v>
      </c>
      <c r="R2" s="10">
        <f t="shared" si="0"/>
        <v>18</v>
      </c>
      <c r="S2" s="10">
        <f t="shared" si="0"/>
        <v>19</v>
      </c>
    </row>
    <row r="3" spans="1:19" s="1" customFormat="1" ht="6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368</v>
      </c>
      <c r="L3" s="2" t="s">
        <v>309</v>
      </c>
      <c r="M3" s="2" t="s">
        <v>369</v>
      </c>
      <c r="N3" s="2" t="s">
        <v>370</v>
      </c>
      <c r="O3" s="26" t="s">
        <v>364</v>
      </c>
      <c r="P3" s="2" t="s">
        <v>343</v>
      </c>
      <c r="Q3" s="2" t="s">
        <v>279</v>
      </c>
      <c r="R3" s="1" t="s">
        <v>0</v>
      </c>
    </row>
    <row r="4" spans="1:19" ht="30" x14ac:dyDescent="0.25">
      <c r="A4" s="3" t="s">
        <v>1</v>
      </c>
      <c r="B4" s="7" t="s">
        <v>2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351</v>
      </c>
      <c r="H4" s="3" t="s">
        <v>340</v>
      </c>
      <c r="I4" s="3" t="s">
        <v>341</v>
      </c>
      <c r="J4" s="3" t="s">
        <v>344</v>
      </c>
      <c r="K4" s="7" t="s">
        <v>346</v>
      </c>
      <c r="L4" s="21" t="str">
        <f t="shared" ref="L4:L38" si="1">E4&amp;" В, "&amp;F4&amp;" ("&amp;G4&amp;") А, "&amp;H4&amp;"/"&amp;I4&amp;", "&amp;IF(K4="-","без модуля связи",IF(COUNTIF(K4,"*,*")&gt;0, "модули связи: "&amp;K4,"модуль связи: "&amp;K4))</f>
        <v>230 В, 5 (80) А, 1/2, модули связи: MC.1-M-G,MC.1-M-G1</v>
      </c>
      <c r="M4" s="3" t="s">
        <v>347</v>
      </c>
      <c r="N4" s="3" t="s">
        <v>347</v>
      </c>
      <c r="O4" s="27">
        <v>0</v>
      </c>
      <c r="P4" s="3"/>
      <c r="Q4" s="3"/>
      <c r="R4" s="7" t="s">
        <v>365</v>
      </c>
      <c r="S4" s="21"/>
    </row>
    <row r="5" spans="1:19" ht="60" x14ac:dyDescent="0.25">
      <c r="A5" s="3" t="s">
        <v>3</v>
      </c>
      <c r="B5" s="7" t="s">
        <v>4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351</v>
      </c>
      <c r="H5" s="3" t="s">
        <v>340</v>
      </c>
      <c r="I5" s="3" t="s">
        <v>341</v>
      </c>
      <c r="J5" s="3" t="s">
        <v>344</v>
      </c>
      <c r="K5" s="7" t="s">
        <v>356</v>
      </c>
      <c r="L5" s="21" t="str">
        <f t="shared" si="1"/>
        <v>230 В, 5 (80) А, 1/2, модуль связи: ?</v>
      </c>
      <c r="M5" s="3" t="s">
        <v>347</v>
      </c>
      <c r="N5" s="3" t="s">
        <v>347</v>
      </c>
      <c r="O5" s="27">
        <v>0</v>
      </c>
      <c r="P5" s="3"/>
      <c r="Q5" s="3"/>
      <c r="R5" s="7" t="s">
        <v>373</v>
      </c>
      <c r="S5" s="21"/>
    </row>
    <row r="6" spans="1:19" ht="30" x14ac:dyDescent="0.25">
      <c r="A6" s="3" t="s">
        <v>5</v>
      </c>
      <c r="B6" s="7" t="s">
        <v>6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351</v>
      </c>
      <c r="H6" s="3" t="s">
        <v>340</v>
      </c>
      <c r="I6" s="3" t="s">
        <v>341</v>
      </c>
      <c r="J6" s="3" t="s">
        <v>344</v>
      </c>
      <c r="K6" s="7" t="s">
        <v>356</v>
      </c>
      <c r="L6" s="21" t="str">
        <f t="shared" si="1"/>
        <v>230 В, 5 (80) А, 1/2, модуль связи: ?</v>
      </c>
      <c r="M6" s="3" t="s">
        <v>347</v>
      </c>
      <c r="N6" s="3" t="s">
        <v>347</v>
      </c>
      <c r="O6" s="27">
        <v>0</v>
      </c>
      <c r="P6" s="3"/>
      <c r="Q6" s="3"/>
      <c r="R6" s="7"/>
      <c r="S6" s="21"/>
    </row>
    <row r="7" spans="1:19" ht="30" x14ac:dyDescent="0.25">
      <c r="A7" s="3" t="s">
        <v>7</v>
      </c>
      <c r="B7" s="7" t="s">
        <v>8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351</v>
      </c>
      <c r="H7" s="3" t="s">
        <v>340</v>
      </c>
      <c r="I7" s="3" t="s">
        <v>341</v>
      </c>
      <c r="J7" s="3" t="s">
        <v>344</v>
      </c>
      <c r="K7" s="7" t="s">
        <v>356</v>
      </c>
      <c r="L7" s="21" t="str">
        <f t="shared" si="1"/>
        <v>230 В, 5 (80) А, 1/2, модуль связи: ?</v>
      </c>
      <c r="M7" s="3" t="s">
        <v>347</v>
      </c>
      <c r="N7" s="3" t="s">
        <v>347</v>
      </c>
      <c r="O7" s="27">
        <v>0</v>
      </c>
      <c r="P7" s="3"/>
      <c r="Q7" s="3"/>
      <c r="R7" s="7"/>
      <c r="S7" s="21"/>
    </row>
    <row r="8" spans="1:19" ht="30" x14ac:dyDescent="0.25">
      <c r="A8" s="3" t="s">
        <v>9</v>
      </c>
      <c r="B8" s="7" t="s">
        <v>10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351</v>
      </c>
      <c r="H8" s="3" t="s">
        <v>340</v>
      </c>
      <c r="I8" s="3" t="s">
        <v>341</v>
      </c>
      <c r="J8" s="3" t="s">
        <v>344</v>
      </c>
      <c r="K8" s="7" t="s">
        <v>356</v>
      </c>
      <c r="L8" s="21" t="str">
        <f t="shared" si="1"/>
        <v>230 В, 5 (80) А, 1/2, модуль связи: ?</v>
      </c>
      <c r="M8" s="3" t="s">
        <v>347</v>
      </c>
      <c r="N8" s="3" t="s">
        <v>347</v>
      </c>
      <c r="O8" s="27">
        <v>0</v>
      </c>
      <c r="P8" s="3"/>
      <c r="Q8" s="3"/>
      <c r="R8" s="7"/>
      <c r="S8" s="21"/>
    </row>
    <row r="9" spans="1:19" ht="30" x14ac:dyDescent="0.25">
      <c r="A9" s="3" t="s">
        <v>11</v>
      </c>
      <c r="B9" s="7" t="s">
        <v>12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351</v>
      </c>
      <c r="H9" s="3" t="s">
        <v>340</v>
      </c>
      <c r="I9" s="3" t="s">
        <v>341</v>
      </c>
      <c r="J9" s="3" t="s">
        <v>344</v>
      </c>
      <c r="K9" s="7" t="s">
        <v>356</v>
      </c>
      <c r="L9" s="21" t="str">
        <f t="shared" si="1"/>
        <v>230 В, 5 (80) А, 1/2, модуль связи: ?</v>
      </c>
      <c r="M9" s="3" t="s">
        <v>347</v>
      </c>
      <c r="N9" s="3" t="s">
        <v>347</v>
      </c>
      <c r="O9" s="27">
        <v>0</v>
      </c>
      <c r="P9" s="3"/>
      <c r="Q9" s="3"/>
      <c r="R9" s="7"/>
      <c r="S9" s="21"/>
    </row>
    <row r="10" spans="1:19" ht="30" x14ac:dyDescent="0.25">
      <c r="A10" s="3" t="s">
        <v>13</v>
      </c>
      <c r="B10" s="7" t="s">
        <v>14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351</v>
      </c>
      <c r="H10" s="3" t="s">
        <v>340</v>
      </c>
      <c r="I10" s="3" t="s">
        <v>341</v>
      </c>
      <c r="J10" s="3" t="s">
        <v>344</v>
      </c>
      <c r="K10" s="7" t="s">
        <v>91</v>
      </c>
      <c r="L10" s="21" t="str">
        <f t="shared" si="1"/>
        <v>230 В, 5 (80) А, 1/2, модуль связи: MC.1-S-G</v>
      </c>
      <c r="M10" s="3" t="s">
        <v>347</v>
      </c>
      <c r="N10" s="3" t="s">
        <v>347</v>
      </c>
      <c r="O10" s="27">
        <v>0</v>
      </c>
      <c r="P10" s="3"/>
      <c r="Q10" s="3"/>
      <c r="R10" s="7"/>
      <c r="S10" s="21"/>
    </row>
    <row r="11" spans="1:19" ht="30" x14ac:dyDescent="0.25">
      <c r="A11" s="3" t="s">
        <v>15</v>
      </c>
      <c r="B11" s="7" t="s">
        <v>16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351</v>
      </c>
      <c r="H11" s="3" t="s">
        <v>340</v>
      </c>
      <c r="I11" s="3" t="s">
        <v>341</v>
      </c>
      <c r="J11" s="3" t="s">
        <v>344</v>
      </c>
      <c r="K11" s="7" t="s">
        <v>356</v>
      </c>
      <c r="L11" s="21" t="str">
        <f t="shared" si="1"/>
        <v>230 В, 5 (80) А, 1/2, модуль связи: ?</v>
      </c>
      <c r="M11" s="3" t="s">
        <v>347</v>
      </c>
      <c r="N11" s="3" t="s">
        <v>347</v>
      </c>
      <c r="O11" s="27">
        <v>0</v>
      </c>
      <c r="P11" s="3"/>
      <c r="Q11" s="3"/>
      <c r="R11" s="7"/>
      <c r="S11" s="21"/>
    </row>
    <row r="12" spans="1:19" ht="30" x14ac:dyDescent="0.25">
      <c r="A12" s="3" t="s">
        <v>17</v>
      </c>
      <c r="B12" s="7" t="s">
        <v>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351</v>
      </c>
      <c r="H12" s="3" t="s">
        <v>340</v>
      </c>
      <c r="I12" s="3" t="s">
        <v>341</v>
      </c>
      <c r="J12" s="3" t="s">
        <v>344</v>
      </c>
      <c r="K12" s="7" t="s">
        <v>346</v>
      </c>
      <c r="L12" s="21" t="str">
        <f t="shared" si="1"/>
        <v>230 В, 5 (80) А, 1/2, модули связи: MC.1-M-G,MC.1-M-G1</v>
      </c>
      <c r="M12" s="3" t="s">
        <v>360</v>
      </c>
      <c r="N12" s="3" t="s">
        <v>361</v>
      </c>
      <c r="O12" s="27">
        <v>0</v>
      </c>
      <c r="P12" s="3"/>
      <c r="Q12" s="4" t="s">
        <v>19</v>
      </c>
      <c r="R12" s="7" t="s">
        <v>20</v>
      </c>
      <c r="S12" s="21"/>
    </row>
    <row r="13" spans="1:19" ht="30" x14ac:dyDescent="0.25">
      <c r="A13" s="3" t="s">
        <v>21</v>
      </c>
      <c r="B13" s="7" t="s">
        <v>22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351</v>
      </c>
      <c r="H13" s="3" t="s">
        <v>340</v>
      </c>
      <c r="I13" s="3" t="s">
        <v>341</v>
      </c>
      <c r="J13" s="3" t="s">
        <v>344</v>
      </c>
      <c r="K13" s="7" t="s">
        <v>356</v>
      </c>
      <c r="L13" s="21" t="str">
        <f t="shared" si="1"/>
        <v>230 В, 5 (80) А, 1/2, модуль связи: ?</v>
      </c>
      <c r="M13" s="3" t="s">
        <v>347</v>
      </c>
      <c r="N13" s="3" t="s">
        <v>347</v>
      </c>
      <c r="O13" s="27">
        <v>0</v>
      </c>
      <c r="P13" s="3"/>
      <c r="Q13" s="5" t="s">
        <v>23</v>
      </c>
      <c r="R13" s="7" t="s">
        <v>24</v>
      </c>
      <c r="S13" s="21"/>
    </row>
    <row r="14" spans="1:19" ht="30" x14ac:dyDescent="0.25">
      <c r="A14" s="3" t="s">
        <v>25</v>
      </c>
      <c r="B14" s="7" t="s">
        <v>26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351</v>
      </c>
      <c r="H14" s="3" t="s">
        <v>340</v>
      </c>
      <c r="I14" s="3" t="s">
        <v>341</v>
      </c>
      <c r="J14" s="3" t="s">
        <v>344</v>
      </c>
      <c r="K14" s="7" t="s">
        <v>356</v>
      </c>
      <c r="L14" s="21" t="str">
        <f t="shared" si="1"/>
        <v>230 В, 5 (80) А, 1/2, модуль связи: ?</v>
      </c>
      <c r="M14" s="3" t="s">
        <v>347</v>
      </c>
      <c r="N14" s="3" t="s">
        <v>347</v>
      </c>
      <c r="O14" s="27">
        <v>0</v>
      </c>
      <c r="P14" s="3"/>
      <c r="Q14" s="3"/>
      <c r="R14" s="7"/>
      <c r="S14" s="21"/>
    </row>
    <row r="15" spans="1:19" ht="30" x14ac:dyDescent="0.25">
      <c r="A15" s="3" t="s">
        <v>27</v>
      </c>
      <c r="B15" s="7" t="s">
        <v>28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351</v>
      </c>
      <c r="H15" s="3" t="s">
        <v>340</v>
      </c>
      <c r="I15" s="3" t="s">
        <v>341</v>
      </c>
      <c r="J15" s="3" t="s">
        <v>344</v>
      </c>
      <c r="K15" s="7" t="s">
        <v>356</v>
      </c>
      <c r="L15" s="21" t="str">
        <f t="shared" si="1"/>
        <v>230 В, 5 (80) А, 1/2, модуль связи: ?</v>
      </c>
      <c r="M15" s="3" t="s">
        <v>347</v>
      </c>
      <c r="N15" s="3" t="s">
        <v>347</v>
      </c>
      <c r="O15" s="27">
        <v>0</v>
      </c>
      <c r="P15" s="3"/>
      <c r="Q15" s="3"/>
      <c r="R15" s="7"/>
      <c r="S15" s="21"/>
    </row>
    <row r="16" spans="1:19" ht="30" x14ac:dyDescent="0.25">
      <c r="A16" s="3" t="s">
        <v>29</v>
      </c>
      <c r="B16" s="7" t="s">
        <v>30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351</v>
      </c>
      <c r="H16" s="3" t="s">
        <v>340</v>
      </c>
      <c r="I16" s="3" t="s">
        <v>341</v>
      </c>
      <c r="J16" s="3" t="s">
        <v>344</v>
      </c>
      <c r="K16" s="7" t="s">
        <v>356</v>
      </c>
      <c r="L16" s="21" t="str">
        <f t="shared" si="1"/>
        <v>230 В, 5 (80) А, 1/2, модуль связи: ?</v>
      </c>
      <c r="M16" s="3" t="s">
        <v>347</v>
      </c>
      <c r="N16" s="3" t="s">
        <v>347</v>
      </c>
      <c r="O16" s="27">
        <v>0</v>
      </c>
      <c r="P16" s="3"/>
      <c r="Q16" s="3"/>
      <c r="R16" s="7"/>
      <c r="S16" s="21"/>
    </row>
    <row r="17" spans="1:19" ht="30" x14ac:dyDescent="0.25">
      <c r="A17" s="3" t="s">
        <v>31</v>
      </c>
      <c r="B17" s="7" t="s">
        <v>32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351</v>
      </c>
      <c r="H17" s="3" t="s">
        <v>340</v>
      </c>
      <c r="I17" s="3" t="s">
        <v>341</v>
      </c>
      <c r="J17" s="3" t="s">
        <v>344</v>
      </c>
      <c r="K17" s="7" t="s">
        <v>356</v>
      </c>
      <c r="L17" s="21" t="str">
        <f t="shared" si="1"/>
        <v>230 В, 5 (80) А, 1/2, модуль связи: ?</v>
      </c>
      <c r="M17" s="3" t="s">
        <v>347</v>
      </c>
      <c r="N17" s="3" t="s">
        <v>347</v>
      </c>
      <c r="O17" s="27">
        <v>0</v>
      </c>
      <c r="P17" s="3"/>
      <c r="Q17" s="3"/>
      <c r="R17" s="7"/>
      <c r="S17" s="21"/>
    </row>
    <row r="18" spans="1:19" ht="30" x14ac:dyDescent="0.25">
      <c r="A18" s="3" t="s">
        <v>33</v>
      </c>
      <c r="B18" s="7" t="s">
        <v>34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351</v>
      </c>
      <c r="H18" s="3" t="s">
        <v>340</v>
      </c>
      <c r="I18" s="3" t="s">
        <v>341</v>
      </c>
      <c r="J18" s="3" t="s">
        <v>344</v>
      </c>
      <c r="K18" s="7" t="s">
        <v>91</v>
      </c>
      <c r="L18" s="21" t="str">
        <f t="shared" si="1"/>
        <v>230 В, 5 (80) А, 1/2, модуль связи: MC.1-S-G</v>
      </c>
      <c r="M18" s="3" t="s">
        <v>347</v>
      </c>
      <c r="N18" s="3" t="s">
        <v>347</v>
      </c>
      <c r="O18" s="27">
        <v>0</v>
      </c>
      <c r="P18" s="3"/>
      <c r="Q18" s="3"/>
      <c r="R18" s="7"/>
      <c r="S18" s="21"/>
    </row>
    <row r="19" spans="1:19" ht="30" x14ac:dyDescent="0.25">
      <c r="A19" s="3" t="s">
        <v>35</v>
      </c>
      <c r="B19" s="7" t="s">
        <v>36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351</v>
      </c>
      <c r="H19" s="3" t="s">
        <v>340</v>
      </c>
      <c r="I19" s="3" t="s">
        <v>341</v>
      </c>
      <c r="J19" s="3" t="s">
        <v>344</v>
      </c>
      <c r="K19" s="7" t="s">
        <v>356</v>
      </c>
      <c r="L19" s="21" t="str">
        <f t="shared" si="1"/>
        <v>230 В, 5 (80) А, 1/2, модуль связи: ?</v>
      </c>
      <c r="M19" s="3" t="s">
        <v>347</v>
      </c>
      <c r="N19" s="3" t="s">
        <v>347</v>
      </c>
      <c r="O19" s="27">
        <v>0</v>
      </c>
      <c r="P19" s="3"/>
      <c r="Q19" s="3"/>
      <c r="R19" s="7"/>
      <c r="S19" s="21"/>
    </row>
    <row r="20" spans="1:19" ht="30" x14ac:dyDescent="0.25">
      <c r="A20" s="3" t="s">
        <v>37</v>
      </c>
      <c r="B20" s="7" t="s">
        <v>122</v>
      </c>
      <c r="C20" s="3" t="s">
        <v>118</v>
      </c>
      <c r="D20" s="3" t="s">
        <v>154</v>
      </c>
      <c r="E20" s="3" t="s">
        <v>352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356</v>
      </c>
      <c r="L20" s="21" t="str">
        <f t="shared" si="1"/>
        <v>3х230/400 В, 5 (100) А, 1/2, модуль связи: ?</v>
      </c>
      <c r="M20" s="3" t="s">
        <v>347</v>
      </c>
      <c r="N20" s="3" t="s">
        <v>347</v>
      </c>
      <c r="O20" s="27">
        <v>0</v>
      </c>
      <c r="P20" s="3"/>
      <c r="Q20" s="5" t="s">
        <v>23</v>
      </c>
      <c r="R20" s="7" t="s">
        <v>38</v>
      </c>
      <c r="S20" s="21"/>
    </row>
    <row r="21" spans="1:19" ht="30" x14ac:dyDescent="0.25">
      <c r="A21" s="3" t="s">
        <v>39</v>
      </c>
      <c r="B21" s="7" t="s">
        <v>123</v>
      </c>
      <c r="C21" s="3" t="s">
        <v>118</v>
      </c>
      <c r="D21" s="3" t="s">
        <v>154</v>
      </c>
      <c r="E21" s="3" t="s">
        <v>352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356</v>
      </c>
      <c r="L21" s="21" t="str">
        <f t="shared" si="1"/>
        <v>3х230/400 В, 5 (100) А, 1/2, модуль связи: ?</v>
      </c>
      <c r="M21" s="3" t="s">
        <v>347</v>
      </c>
      <c r="N21" s="3" t="s">
        <v>347</v>
      </c>
      <c r="O21" s="27">
        <v>0</v>
      </c>
      <c r="P21" s="3"/>
      <c r="Q21" s="3"/>
      <c r="R21" s="7"/>
      <c r="S21" s="21"/>
    </row>
    <row r="22" spans="1:19" ht="30" x14ac:dyDescent="0.25">
      <c r="A22" s="3" t="s">
        <v>40</v>
      </c>
      <c r="B22" s="7" t="s">
        <v>124</v>
      </c>
      <c r="C22" s="3" t="s">
        <v>118</v>
      </c>
      <c r="D22" s="3" t="s">
        <v>154</v>
      </c>
      <c r="E22" s="3" t="s">
        <v>352</v>
      </c>
      <c r="F22" s="3" t="s">
        <v>337</v>
      </c>
      <c r="G22" s="3" t="s">
        <v>339</v>
      </c>
      <c r="H22" s="3" t="s">
        <v>340</v>
      </c>
      <c r="I22" s="3" t="s">
        <v>341</v>
      </c>
      <c r="J22" s="3" t="s">
        <v>344</v>
      </c>
      <c r="K22" s="7" t="s">
        <v>356</v>
      </c>
      <c r="L22" s="21" t="str">
        <f t="shared" si="1"/>
        <v>3х230/400 В, 5 (100) А, 1/2, модуль связи: ?</v>
      </c>
      <c r="M22" s="3" t="s">
        <v>347</v>
      </c>
      <c r="N22" s="3" t="s">
        <v>347</v>
      </c>
      <c r="O22" s="27">
        <v>0</v>
      </c>
      <c r="P22" s="3"/>
      <c r="Q22" s="3"/>
      <c r="R22" s="7"/>
      <c r="S22" s="21"/>
    </row>
    <row r="23" spans="1:19" ht="30" x14ac:dyDescent="0.25">
      <c r="A23" s="3" t="s">
        <v>41</v>
      </c>
      <c r="B23" s="7" t="s">
        <v>125</v>
      </c>
      <c r="C23" s="3" t="s">
        <v>118</v>
      </c>
      <c r="D23" s="3" t="s">
        <v>154</v>
      </c>
      <c r="E23" s="3" t="s">
        <v>352</v>
      </c>
      <c r="F23" s="3" t="s">
        <v>337</v>
      </c>
      <c r="G23" s="3" t="s">
        <v>339</v>
      </c>
      <c r="H23" s="3" t="s">
        <v>340</v>
      </c>
      <c r="I23" s="3" t="s">
        <v>341</v>
      </c>
      <c r="J23" s="3" t="s">
        <v>344</v>
      </c>
      <c r="K23" s="7" t="s">
        <v>356</v>
      </c>
      <c r="L23" s="21" t="str">
        <f t="shared" si="1"/>
        <v>3х230/400 В, 5 (100) А, 1/2, модуль связи: ?</v>
      </c>
      <c r="M23" s="3" t="s">
        <v>347</v>
      </c>
      <c r="N23" s="3" t="s">
        <v>347</v>
      </c>
      <c r="O23" s="27">
        <v>0</v>
      </c>
      <c r="P23" s="3"/>
      <c r="Q23" s="3"/>
      <c r="R23" s="7"/>
      <c r="S23" s="21"/>
    </row>
    <row r="24" spans="1:19" ht="30" x14ac:dyDescent="0.25">
      <c r="A24" s="3" t="s">
        <v>42</v>
      </c>
      <c r="B24" s="7" t="s">
        <v>126</v>
      </c>
      <c r="C24" s="3" t="s">
        <v>118</v>
      </c>
      <c r="D24" s="3" t="s">
        <v>154</v>
      </c>
      <c r="E24" s="3" t="s">
        <v>352</v>
      </c>
      <c r="F24" s="3" t="s">
        <v>337</v>
      </c>
      <c r="G24" s="3" t="s">
        <v>339</v>
      </c>
      <c r="H24" s="3" t="s">
        <v>340</v>
      </c>
      <c r="I24" s="3" t="s">
        <v>341</v>
      </c>
      <c r="J24" s="3" t="s">
        <v>344</v>
      </c>
      <c r="K24" s="7" t="s">
        <v>356</v>
      </c>
      <c r="L24" s="21" t="str">
        <f t="shared" si="1"/>
        <v>3х230/400 В, 5 (100) А, 1/2, модуль связи: ?</v>
      </c>
      <c r="M24" s="3" t="s">
        <v>347</v>
      </c>
      <c r="N24" s="3" t="s">
        <v>347</v>
      </c>
      <c r="O24" s="27">
        <v>0</v>
      </c>
      <c r="P24" s="3"/>
      <c r="Q24" s="3"/>
      <c r="R24" s="7"/>
      <c r="S24" s="21"/>
    </row>
    <row r="25" spans="1:19" ht="30" x14ac:dyDescent="0.25">
      <c r="A25" s="3" t="s">
        <v>43</v>
      </c>
      <c r="B25" s="7" t="s">
        <v>127</v>
      </c>
      <c r="C25" s="3" t="s">
        <v>118</v>
      </c>
      <c r="D25" s="3" t="s">
        <v>154</v>
      </c>
      <c r="E25" s="3" t="s">
        <v>352</v>
      </c>
      <c r="F25" s="3" t="s">
        <v>337</v>
      </c>
      <c r="G25" s="3" t="s">
        <v>339</v>
      </c>
      <c r="H25" s="3" t="s">
        <v>340</v>
      </c>
      <c r="I25" s="3" t="s">
        <v>341</v>
      </c>
      <c r="J25" s="3" t="s">
        <v>344</v>
      </c>
      <c r="K25" s="7" t="s">
        <v>94</v>
      </c>
      <c r="L25" s="21" t="str">
        <f t="shared" si="1"/>
        <v>3х230/400 В, 5 (100) А, 1/2, модуль связи: MC.3-S-G</v>
      </c>
      <c r="M25" s="3" t="s">
        <v>347</v>
      </c>
      <c r="N25" s="3" t="s">
        <v>347</v>
      </c>
      <c r="O25" s="27">
        <v>0</v>
      </c>
      <c r="P25" s="3"/>
      <c r="Q25" s="3"/>
      <c r="R25" s="7"/>
      <c r="S25" s="21"/>
    </row>
    <row r="26" spans="1:19" ht="30" x14ac:dyDescent="0.25">
      <c r="A26" s="3" t="s">
        <v>44</v>
      </c>
      <c r="B26" s="7" t="s">
        <v>128</v>
      </c>
      <c r="C26" s="3" t="s">
        <v>118</v>
      </c>
      <c r="D26" s="3" t="s">
        <v>154</v>
      </c>
      <c r="E26" s="3" t="s">
        <v>352</v>
      </c>
      <c r="F26" s="3" t="s">
        <v>337</v>
      </c>
      <c r="G26" s="3" t="s">
        <v>339</v>
      </c>
      <c r="H26" s="3" t="s">
        <v>340</v>
      </c>
      <c r="I26" s="3" t="s">
        <v>341</v>
      </c>
      <c r="J26" s="3" t="s">
        <v>344</v>
      </c>
      <c r="K26" s="7" t="s">
        <v>356</v>
      </c>
      <c r="L26" s="21" t="str">
        <f t="shared" si="1"/>
        <v>3х230/400 В, 5 (100) А, 1/2, модуль связи: ?</v>
      </c>
      <c r="M26" s="3" t="s">
        <v>347</v>
      </c>
      <c r="N26" s="3" t="s">
        <v>347</v>
      </c>
      <c r="O26" s="27">
        <v>0</v>
      </c>
      <c r="P26" s="3"/>
      <c r="Q26" s="3"/>
      <c r="R26" s="7"/>
      <c r="S26" s="21"/>
    </row>
    <row r="27" spans="1:19" ht="30" x14ac:dyDescent="0.25">
      <c r="A27" s="3" t="s">
        <v>45</v>
      </c>
      <c r="B27" s="7" t="s">
        <v>129</v>
      </c>
      <c r="C27" s="3" t="s">
        <v>118</v>
      </c>
      <c r="D27" s="3" t="s">
        <v>154</v>
      </c>
      <c r="E27" s="3" t="s">
        <v>352</v>
      </c>
      <c r="F27" s="3" t="s">
        <v>337</v>
      </c>
      <c r="G27" s="3" t="s">
        <v>339</v>
      </c>
      <c r="H27" s="3" t="s">
        <v>340</v>
      </c>
      <c r="I27" s="3" t="s">
        <v>341</v>
      </c>
      <c r="J27" s="3" t="s">
        <v>344</v>
      </c>
      <c r="K27" s="7" t="s">
        <v>356</v>
      </c>
      <c r="L27" s="21" t="str">
        <f t="shared" si="1"/>
        <v>3х230/400 В, 5 (100) А, 1/2, модуль связи: ?</v>
      </c>
      <c r="M27" s="3" t="s">
        <v>347</v>
      </c>
      <c r="N27" s="3" t="s">
        <v>347</v>
      </c>
      <c r="O27" s="27">
        <v>0</v>
      </c>
      <c r="P27" s="3"/>
      <c r="Q27" s="3"/>
      <c r="R27" s="7"/>
      <c r="S27" s="21"/>
    </row>
    <row r="28" spans="1:19" ht="30" x14ac:dyDescent="0.25">
      <c r="A28" s="3" t="s">
        <v>46</v>
      </c>
      <c r="B28" s="7" t="s">
        <v>130</v>
      </c>
      <c r="C28" s="3" t="s">
        <v>118</v>
      </c>
      <c r="D28" s="3" t="s">
        <v>154</v>
      </c>
      <c r="E28" s="3" t="s">
        <v>352</v>
      </c>
      <c r="F28" s="3" t="s">
        <v>337</v>
      </c>
      <c r="G28" s="3" t="s">
        <v>339</v>
      </c>
      <c r="H28" s="3" t="s">
        <v>340</v>
      </c>
      <c r="I28" s="3" t="s">
        <v>341</v>
      </c>
      <c r="J28" s="3" t="s">
        <v>344</v>
      </c>
      <c r="K28" s="7" t="s">
        <v>356</v>
      </c>
      <c r="L28" s="21" t="str">
        <f t="shared" si="1"/>
        <v>3х230/400 В, 5 (100) А, 1/2, модуль связи: ?</v>
      </c>
      <c r="M28" s="3" t="s">
        <v>347</v>
      </c>
      <c r="N28" s="3" t="s">
        <v>347</v>
      </c>
      <c r="O28" s="27">
        <v>0</v>
      </c>
      <c r="P28" s="3"/>
      <c r="Q28" s="3"/>
      <c r="R28" s="7"/>
      <c r="S28" s="21"/>
    </row>
    <row r="29" spans="1:19" ht="30" x14ac:dyDescent="0.25">
      <c r="A29" s="3" t="s">
        <v>47</v>
      </c>
      <c r="B29" s="7" t="s">
        <v>131</v>
      </c>
      <c r="C29" s="3" t="s">
        <v>118</v>
      </c>
      <c r="D29" s="3" t="s">
        <v>154</v>
      </c>
      <c r="E29" s="3" t="s">
        <v>352</v>
      </c>
      <c r="F29" s="3" t="s">
        <v>337</v>
      </c>
      <c r="G29" s="3" t="s">
        <v>339</v>
      </c>
      <c r="H29" s="3" t="s">
        <v>340</v>
      </c>
      <c r="I29" s="3" t="s">
        <v>341</v>
      </c>
      <c r="J29" s="3" t="s">
        <v>344</v>
      </c>
      <c r="K29" s="7" t="s">
        <v>356</v>
      </c>
      <c r="L29" s="21" t="str">
        <f t="shared" si="1"/>
        <v>3х230/400 В, 5 (100) А, 1/2, модуль связи: ?</v>
      </c>
      <c r="M29" s="3" t="s">
        <v>347</v>
      </c>
      <c r="N29" s="3" t="s">
        <v>347</v>
      </c>
      <c r="O29" s="27">
        <v>0</v>
      </c>
      <c r="P29" s="3"/>
      <c r="Q29" s="3"/>
      <c r="R29" s="7"/>
      <c r="S29" s="21"/>
    </row>
    <row r="30" spans="1:19" ht="30" x14ac:dyDescent="0.25">
      <c r="A30" s="3" t="s">
        <v>48</v>
      </c>
      <c r="B30" s="7" t="s">
        <v>132</v>
      </c>
      <c r="C30" s="3" t="s">
        <v>118</v>
      </c>
      <c r="D30" s="3" t="s">
        <v>154</v>
      </c>
      <c r="E30" s="3" t="s">
        <v>352</v>
      </c>
      <c r="F30" s="3" t="s">
        <v>337</v>
      </c>
      <c r="G30" s="3" t="s">
        <v>339</v>
      </c>
      <c r="H30" s="3" t="s">
        <v>340</v>
      </c>
      <c r="I30" s="3" t="s">
        <v>341</v>
      </c>
      <c r="J30" s="3" t="s">
        <v>344</v>
      </c>
      <c r="K30" s="7" t="s">
        <v>356</v>
      </c>
      <c r="L30" s="21" t="str">
        <f t="shared" si="1"/>
        <v>3х230/400 В, 5 (100) А, 1/2, модуль связи: ?</v>
      </c>
      <c r="M30" s="3" t="s">
        <v>347</v>
      </c>
      <c r="N30" s="3" t="s">
        <v>347</v>
      </c>
      <c r="O30" s="27">
        <v>0</v>
      </c>
      <c r="P30" s="3"/>
      <c r="Q30" s="3"/>
      <c r="R30" s="7"/>
      <c r="S30" s="21"/>
    </row>
    <row r="31" spans="1:19" ht="30" x14ac:dyDescent="0.25">
      <c r="A31" s="3" t="s">
        <v>49</v>
      </c>
      <c r="B31" s="7" t="s">
        <v>133</v>
      </c>
      <c r="C31" s="3" t="s">
        <v>118</v>
      </c>
      <c r="D31" s="3" t="s">
        <v>154</v>
      </c>
      <c r="E31" s="3" t="s">
        <v>352</v>
      </c>
      <c r="F31" s="3" t="s">
        <v>337</v>
      </c>
      <c r="G31" s="3" t="s">
        <v>339</v>
      </c>
      <c r="H31" s="3" t="s">
        <v>340</v>
      </c>
      <c r="I31" s="3" t="s">
        <v>341</v>
      </c>
      <c r="J31" s="3" t="s">
        <v>344</v>
      </c>
      <c r="K31" s="7" t="s">
        <v>94</v>
      </c>
      <c r="L31" s="21" t="str">
        <f t="shared" si="1"/>
        <v>3х230/400 В, 5 (100) А, 1/2, модуль связи: MC.3-S-G</v>
      </c>
      <c r="M31" s="3" t="s">
        <v>347</v>
      </c>
      <c r="N31" s="3" t="s">
        <v>347</v>
      </c>
      <c r="O31" s="27">
        <v>0</v>
      </c>
      <c r="P31" s="3"/>
      <c r="Q31" s="3"/>
      <c r="R31" s="7"/>
      <c r="S31" s="21"/>
    </row>
    <row r="32" spans="1:19" ht="30" x14ac:dyDescent="0.25">
      <c r="A32" s="3" t="s">
        <v>50</v>
      </c>
      <c r="B32" s="7" t="s">
        <v>134</v>
      </c>
      <c r="C32" s="3" t="s">
        <v>118</v>
      </c>
      <c r="D32" s="3" t="s">
        <v>154</v>
      </c>
      <c r="E32" s="3" t="s">
        <v>352</v>
      </c>
      <c r="F32" s="3" t="s">
        <v>337</v>
      </c>
      <c r="G32" s="3" t="s">
        <v>339</v>
      </c>
      <c r="H32" s="3" t="s">
        <v>340</v>
      </c>
      <c r="I32" s="3" t="s">
        <v>341</v>
      </c>
      <c r="J32" s="3" t="s">
        <v>344</v>
      </c>
      <c r="K32" s="7" t="s">
        <v>356</v>
      </c>
      <c r="L32" s="21" t="str">
        <f t="shared" si="1"/>
        <v>3х230/400 В, 5 (100) А, 1/2, модуль связи: ?</v>
      </c>
      <c r="M32" s="3" t="s">
        <v>347</v>
      </c>
      <c r="N32" s="3" t="s">
        <v>347</v>
      </c>
      <c r="O32" s="27">
        <v>0</v>
      </c>
      <c r="P32" s="3"/>
      <c r="Q32" s="3"/>
      <c r="R32" s="7"/>
      <c r="S32" s="21"/>
    </row>
    <row r="33" spans="1:19" ht="45" x14ac:dyDescent="0.25">
      <c r="A33" s="3" t="s">
        <v>51</v>
      </c>
      <c r="B33" s="7" t="s">
        <v>135</v>
      </c>
      <c r="C33" s="3" t="s">
        <v>118</v>
      </c>
      <c r="D33" s="3" t="s">
        <v>154</v>
      </c>
      <c r="E33" s="3" t="s">
        <v>352</v>
      </c>
      <c r="F33" s="3" t="s">
        <v>337</v>
      </c>
      <c r="G33" s="3" t="s">
        <v>339</v>
      </c>
      <c r="H33" s="3" t="s">
        <v>340</v>
      </c>
      <c r="I33" s="3" t="s">
        <v>341</v>
      </c>
      <c r="J33" s="3" t="s">
        <v>344</v>
      </c>
      <c r="K33" s="7" t="s">
        <v>348</v>
      </c>
      <c r="L33" s="21" t="str">
        <f t="shared" si="1"/>
        <v>3х230/400 В, 5 (100) А, 1/2, модули связи: MC.3-P-G,MC.3-P-G1</v>
      </c>
      <c r="M33" s="3" t="s">
        <v>347</v>
      </c>
      <c r="N33" s="3" t="s">
        <v>347</v>
      </c>
      <c r="O33" s="27">
        <v>0</v>
      </c>
      <c r="P33" s="3"/>
      <c r="Q33" s="3"/>
      <c r="R33" s="7"/>
      <c r="S33" s="21"/>
    </row>
    <row r="34" spans="1:19" ht="45" x14ac:dyDescent="0.25">
      <c r="A34" s="3" t="s">
        <v>52</v>
      </c>
      <c r="B34" s="7" t="s">
        <v>136</v>
      </c>
      <c r="C34" s="3" t="s">
        <v>118</v>
      </c>
      <c r="D34" s="3" t="s">
        <v>154</v>
      </c>
      <c r="E34" s="3" t="s">
        <v>352</v>
      </c>
      <c r="F34" s="3" t="s">
        <v>337</v>
      </c>
      <c r="G34" s="3" t="s">
        <v>339</v>
      </c>
      <c r="H34" s="3" t="s">
        <v>340</v>
      </c>
      <c r="I34" s="3" t="s">
        <v>341</v>
      </c>
      <c r="J34" s="3" t="s">
        <v>344</v>
      </c>
      <c r="K34" s="7" t="s">
        <v>348</v>
      </c>
      <c r="L34" s="21" t="str">
        <f t="shared" si="1"/>
        <v>3х230/400 В, 5 (100) А, 1/2, модули связи: MC.3-P-G,MC.3-P-G1</v>
      </c>
      <c r="M34" s="3" t="s">
        <v>363</v>
      </c>
      <c r="N34" s="3" t="s">
        <v>362</v>
      </c>
      <c r="O34" s="27">
        <v>0</v>
      </c>
      <c r="P34" s="3"/>
      <c r="Q34" s="4" t="s">
        <v>19</v>
      </c>
      <c r="R34" s="7" t="s">
        <v>53</v>
      </c>
      <c r="S34" s="21"/>
    </row>
    <row r="35" spans="1:19" ht="60" x14ac:dyDescent="0.25">
      <c r="A35" s="3" t="s">
        <v>54</v>
      </c>
      <c r="B35" s="7" t="s">
        <v>331</v>
      </c>
      <c r="C35" s="3" t="s">
        <v>118</v>
      </c>
      <c r="D35" s="3" t="s">
        <v>155</v>
      </c>
      <c r="E35" s="3" t="s">
        <v>379</v>
      </c>
      <c r="F35" s="3" t="s">
        <v>337</v>
      </c>
      <c r="G35" s="3" t="s">
        <v>353</v>
      </c>
      <c r="H35" s="3" t="s">
        <v>366</v>
      </c>
      <c r="I35" s="3" t="s">
        <v>367</v>
      </c>
      <c r="J35" s="3" t="s">
        <v>344</v>
      </c>
      <c r="K35" s="7" t="s">
        <v>349</v>
      </c>
      <c r="L35" s="21" t="str">
        <f t="shared" si="1"/>
        <v>3х57,7/100…3х230/400 В, 5 (10) А, 0,2S/0,5, модули связи: MC.3-P-G,MC.3-P-G1,MC.3T-P-G</v>
      </c>
      <c r="M35" s="3" t="s">
        <v>347</v>
      </c>
      <c r="N35" s="3" t="s">
        <v>347</v>
      </c>
      <c r="O35" s="27">
        <v>0</v>
      </c>
      <c r="P35" s="3"/>
      <c r="Q35" s="3"/>
      <c r="R35" s="7"/>
      <c r="S35" s="21"/>
    </row>
    <row r="36" spans="1:19" ht="60" x14ac:dyDescent="0.25">
      <c r="A36" s="3" t="s">
        <v>55</v>
      </c>
      <c r="B36" s="7" t="s">
        <v>332</v>
      </c>
      <c r="C36" s="3" t="s">
        <v>118</v>
      </c>
      <c r="D36" s="3" t="s">
        <v>155</v>
      </c>
      <c r="E36" s="3" t="s">
        <v>379</v>
      </c>
      <c r="F36" s="3" t="s">
        <v>337</v>
      </c>
      <c r="G36" s="3" t="s">
        <v>353</v>
      </c>
      <c r="H36" s="3" t="s">
        <v>366</v>
      </c>
      <c r="I36" s="3" t="s">
        <v>367</v>
      </c>
      <c r="J36" s="3" t="s">
        <v>344</v>
      </c>
      <c r="K36" s="7" t="s">
        <v>349</v>
      </c>
      <c r="L36" s="21" t="str">
        <f t="shared" si="1"/>
        <v>3х57,7/100…3х230/400 В, 5 (10) А, 0,2S/0,5, модули связи: MC.3-P-G,MC.3-P-G1,MC.3T-P-G</v>
      </c>
      <c r="M36" s="3" t="s">
        <v>347</v>
      </c>
      <c r="N36" s="3" t="s">
        <v>347</v>
      </c>
      <c r="O36" s="27">
        <v>0</v>
      </c>
      <c r="P36" s="3"/>
      <c r="Q36" s="3"/>
      <c r="R36" s="7"/>
      <c r="S36" s="21"/>
    </row>
    <row r="37" spans="1:19" ht="60" x14ac:dyDescent="0.25">
      <c r="A37" s="3" t="s">
        <v>56</v>
      </c>
      <c r="B37" s="7" t="s">
        <v>333</v>
      </c>
      <c r="C37" s="3" t="s">
        <v>118</v>
      </c>
      <c r="D37" s="3" t="s">
        <v>155</v>
      </c>
      <c r="E37" s="3" t="s">
        <v>379</v>
      </c>
      <c r="F37" s="3" t="s">
        <v>337</v>
      </c>
      <c r="G37" s="3" t="s">
        <v>353</v>
      </c>
      <c r="H37" s="3" t="s">
        <v>354</v>
      </c>
      <c r="I37" s="3" t="s">
        <v>340</v>
      </c>
      <c r="J37" s="3" t="s">
        <v>344</v>
      </c>
      <c r="K37" s="7" t="s">
        <v>349</v>
      </c>
      <c r="L37" s="21" t="str">
        <f t="shared" si="1"/>
        <v>3х57,7/100…3х230/400 В, 5 (10) А, 0,5S/1, модули связи: MC.3-P-G,MC.3-P-G1,MC.3T-P-G</v>
      </c>
      <c r="M37" s="3" t="s">
        <v>347</v>
      </c>
      <c r="N37" s="3" t="s">
        <v>347</v>
      </c>
      <c r="O37" s="27">
        <v>0</v>
      </c>
      <c r="P37" s="3"/>
      <c r="Q37" s="3"/>
      <c r="R37" s="7"/>
      <c r="S37" s="21"/>
    </row>
    <row r="38" spans="1:19" ht="60" x14ac:dyDescent="0.25">
      <c r="A38" s="3" t="s">
        <v>57</v>
      </c>
      <c r="B38" s="7" t="s">
        <v>317</v>
      </c>
      <c r="C38" s="3" t="s">
        <v>118</v>
      </c>
      <c r="D38" s="3" t="s">
        <v>155</v>
      </c>
      <c r="E38" s="3" t="s">
        <v>379</v>
      </c>
      <c r="F38" s="3" t="s">
        <v>337</v>
      </c>
      <c r="G38" s="3" t="s">
        <v>353</v>
      </c>
      <c r="H38" s="3" t="s">
        <v>354</v>
      </c>
      <c r="I38" s="3" t="s">
        <v>340</v>
      </c>
      <c r="J38" s="3" t="s">
        <v>344</v>
      </c>
      <c r="K38" s="7" t="s">
        <v>349</v>
      </c>
      <c r="L38" s="21" t="str">
        <f t="shared" si="1"/>
        <v>3х57,7/100…3х230/400 В, 5 (10) А, 0,5S/1, модули связи: MC.3-P-G,MC.3-P-G1,MC.3T-P-G</v>
      </c>
      <c r="M38" s="3" t="s">
        <v>371</v>
      </c>
      <c r="N38" s="3" t="s">
        <v>372</v>
      </c>
      <c r="O38" s="27">
        <v>0</v>
      </c>
      <c r="P38" s="3"/>
      <c r="Q38" s="4" t="s">
        <v>19</v>
      </c>
      <c r="R38" s="7" t="s">
        <v>58</v>
      </c>
      <c r="S38" s="21"/>
    </row>
    <row r="39" spans="1:19" x14ac:dyDescent="0.25">
      <c r="A39" s="3" t="s">
        <v>59</v>
      </c>
      <c r="B39" s="7" t="s">
        <v>321</v>
      </c>
      <c r="C39" s="3" t="s">
        <v>121</v>
      </c>
      <c r="D39" s="3" t="s">
        <v>157</v>
      </c>
      <c r="E39" s="3"/>
      <c r="F39" s="3"/>
      <c r="G39" s="3"/>
      <c r="H39" s="3"/>
      <c r="I39" s="3"/>
      <c r="J39" s="3"/>
      <c r="K39" s="7"/>
      <c r="L39" s="21"/>
      <c r="M39" s="3"/>
      <c r="N39" s="3"/>
      <c r="O39" s="27"/>
      <c r="P39" s="3"/>
      <c r="Q39" s="3"/>
      <c r="R39" s="7"/>
      <c r="S39" s="21"/>
    </row>
    <row r="40" spans="1:19" x14ac:dyDescent="0.25">
      <c r="A40" s="3" t="s">
        <v>60</v>
      </c>
      <c r="B40" s="7" t="s">
        <v>322</v>
      </c>
      <c r="C40" s="3" t="s">
        <v>121</v>
      </c>
      <c r="D40" s="3" t="s">
        <v>157</v>
      </c>
      <c r="E40" s="3"/>
      <c r="F40" s="3"/>
      <c r="G40" s="3"/>
      <c r="H40" s="3"/>
      <c r="I40" s="3"/>
      <c r="J40" s="3"/>
      <c r="K40" s="7"/>
      <c r="L40" s="21"/>
      <c r="M40" s="3"/>
      <c r="N40" s="3"/>
      <c r="O40" s="27"/>
      <c r="P40" s="3"/>
      <c r="Q40" s="3"/>
      <c r="R40" s="7"/>
      <c r="S40" s="21"/>
    </row>
    <row r="41" spans="1:19" x14ac:dyDescent="0.25">
      <c r="A41" s="3" t="s">
        <v>61</v>
      </c>
      <c r="B41" s="7" t="s">
        <v>323</v>
      </c>
      <c r="C41" s="3" t="s">
        <v>121</v>
      </c>
      <c r="D41" s="3" t="s">
        <v>157</v>
      </c>
      <c r="E41" s="3"/>
      <c r="F41" s="3"/>
      <c r="G41" s="3"/>
      <c r="H41" s="3"/>
      <c r="I41" s="3"/>
      <c r="J41" s="3"/>
      <c r="K41" s="7"/>
      <c r="L41" s="21"/>
      <c r="M41" s="3"/>
      <c r="N41" s="3"/>
      <c r="O41" s="27"/>
      <c r="P41" s="3"/>
      <c r="Q41" s="3"/>
      <c r="R41" s="7"/>
      <c r="S41" s="21"/>
    </row>
    <row r="42" spans="1:19" x14ac:dyDescent="0.25">
      <c r="A42" s="3" t="s">
        <v>62</v>
      </c>
      <c r="B42" s="7" t="s">
        <v>324</v>
      </c>
      <c r="C42" s="3" t="s">
        <v>121</v>
      </c>
      <c r="D42" s="3" t="s">
        <v>157</v>
      </c>
      <c r="E42" s="3"/>
      <c r="F42" s="3"/>
      <c r="G42" s="3"/>
      <c r="H42" s="3"/>
      <c r="I42" s="3"/>
      <c r="J42" s="3"/>
      <c r="K42" s="7"/>
      <c r="L42" s="21"/>
      <c r="M42" s="3"/>
      <c r="N42" s="3"/>
      <c r="O42" s="27"/>
      <c r="P42" s="3"/>
      <c r="Q42" s="3"/>
      <c r="R42" s="7"/>
      <c r="S42" s="21"/>
    </row>
    <row r="43" spans="1:19" ht="30" x14ac:dyDescent="0.25">
      <c r="A43" s="3" t="s">
        <v>63</v>
      </c>
      <c r="B43" s="7" t="s">
        <v>325</v>
      </c>
      <c r="C43" s="3" t="s">
        <v>121</v>
      </c>
      <c r="D43" s="3" t="s">
        <v>157</v>
      </c>
      <c r="E43" s="3"/>
      <c r="F43" s="3"/>
      <c r="G43" s="3"/>
      <c r="H43" s="3"/>
      <c r="I43" s="3"/>
      <c r="J43" s="3"/>
      <c r="K43" s="7"/>
      <c r="L43" s="21"/>
      <c r="M43" s="3"/>
      <c r="N43" s="3"/>
      <c r="O43" s="27"/>
      <c r="P43" s="3"/>
      <c r="Q43" s="4" t="s">
        <v>19</v>
      </c>
      <c r="R43" s="7" t="s">
        <v>64</v>
      </c>
      <c r="S43" s="21"/>
    </row>
    <row r="44" spans="1:19" x14ac:dyDescent="0.25">
      <c r="A44" s="3" t="s">
        <v>65</v>
      </c>
      <c r="B44" s="7" t="s">
        <v>326</v>
      </c>
      <c r="C44" s="3" t="s">
        <v>121</v>
      </c>
      <c r="D44" s="3" t="s">
        <v>157</v>
      </c>
      <c r="E44" s="3"/>
      <c r="F44" s="3"/>
      <c r="G44" s="3"/>
      <c r="H44" s="3"/>
      <c r="I44" s="3"/>
      <c r="J44" s="3"/>
      <c r="K44" s="7"/>
      <c r="L44" s="21"/>
      <c r="M44" s="3"/>
      <c r="N44" s="3"/>
      <c r="O44" s="27"/>
      <c r="P44" s="3"/>
      <c r="Q44" s="3"/>
      <c r="R44" s="7"/>
      <c r="S44" s="21"/>
    </row>
    <row r="45" spans="1:19" x14ac:dyDescent="0.25">
      <c r="A45" s="3" t="s">
        <v>66</v>
      </c>
      <c r="B45" s="7" t="s">
        <v>327</v>
      </c>
      <c r="C45" s="3" t="s">
        <v>121</v>
      </c>
      <c r="D45" s="3" t="s">
        <v>157</v>
      </c>
      <c r="E45" s="3"/>
      <c r="F45" s="3"/>
      <c r="G45" s="3"/>
      <c r="H45" s="3"/>
      <c r="I45" s="3"/>
      <c r="J45" s="3"/>
      <c r="K45" s="7"/>
      <c r="L45" s="21"/>
      <c r="M45" s="3"/>
      <c r="N45" s="3"/>
      <c r="O45" s="27"/>
      <c r="P45" s="3"/>
      <c r="Q45" s="3"/>
      <c r="R45" s="7"/>
      <c r="S45" s="21"/>
    </row>
    <row r="46" spans="1:19" x14ac:dyDescent="0.25">
      <c r="A46" s="3" t="s">
        <v>67</v>
      </c>
      <c r="B46" s="7" t="s">
        <v>328</v>
      </c>
      <c r="C46" s="3" t="s">
        <v>121</v>
      </c>
      <c r="D46" s="3" t="s">
        <v>157</v>
      </c>
      <c r="E46" s="3"/>
      <c r="F46" s="3"/>
      <c r="G46" s="3"/>
      <c r="H46" s="3"/>
      <c r="I46" s="3"/>
      <c r="J46" s="3"/>
      <c r="K46" s="7"/>
      <c r="L46" s="21"/>
      <c r="M46" s="3"/>
      <c r="N46" s="3"/>
      <c r="O46" s="27"/>
      <c r="P46" s="3"/>
      <c r="Q46" s="3"/>
      <c r="R46" s="7"/>
      <c r="S46" s="21"/>
    </row>
    <row r="47" spans="1:19" x14ac:dyDescent="0.25">
      <c r="A47" s="3" t="s">
        <v>68</v>
      </c>
      <c r="B47" s="7" t="s">
        <v>69</v>
      </c>
      <c r="C47" s="3" t="s">
        <v>121</v>
      </c>
      <c r="D47" s="3" t="s">
        <v>158</v>
      </c>
      <c r="E47" s="3"/>
      <c r="F47" s="3"/>
      <c r="G47" s="3"/>
      <c r="H47" s="3"/>
      <c r="I47" s="3"/>
      <c r="J47" s="3"/>
      <c r="K47" s="7"/>
      <c r="L47" s="21"/>
      <c r="M47" s="3"/>
      <c r="N47" s="3"/>
      <c r="O47" s="27"/>
      <c r="P47" s="3"/>
      <c r="Q47" s="3"/>
      <c r="R47" s="7"/>
      <c r="S47" s="21"/>
    </row>
    <row r="48" spans="1:19" x14ac:dyDescent="0.25">
      <c r="A48" s="3" t="s">
        <v>70</v>
      </c>
      <c r="B48" s="7" t="s">
        <v>71</v>
      </c>
      <c r="C48" s="3" t="s">
        <v>121</v>
      </c>
      <c r="D48" s="3" t="s">
        <v>158</v>
      </c>
      <c r="E48" s="3"/>
      <c r="F48" s="3"/>
      <c r="G48" s="3"/>
      <c r="H48" s="3"/>
      <c r="I48" s="3"/>
      <c r="J48" s="3"/>
      <c r="K48" s="7"/>
      <c r="L48" s="21"/>
      <c r="M48" s="3"/>
      <c r="N48" s="3"/>
      <c r="O48" s="27"/>
      <c r="P48" s="3"/>
      <c r="Q48" s="3"/>
      <c r="R48" s="7"/>
      <c r="S48" s="21"/>
    </row>
    <row r="49" spans="1:19" x14ac:dyDescent="0.25">
      <c r="A49" s="3" t="s">
        <v>72</v>
      </c>
      <c r="B49" s="7" t="s">
        <v>73</v>
      </c>
      <c r="C49" s="3" t="s">
        <v>121</v>
      </c>
      <c r="D49" s="3" t="s">
        <v>158</v>
      </c>
      <c r="E49" s="3"/>
      <c r="F49" s="3"/>
      <c r="G49" s="3"/>
      <c r="H49" s="3"/>
      <c r="I49" s="3"/>
      <c r="J49" s="3"/>
      <c r="K49" s="7"/>
      <c r="L49" s="21"/>
      <c r="M49" s="3"/>
      <c r="N49" s="3"/>
      <c r="O49" s="27"/>
      <c r="P49" s="3"/>
      <c r="Q49" s="3"/>
      <c r="R49" s="7"/>
      <c r="S49" s="21"/>
    </row>
    <row r="50" spans="1:19" x14ac:dyDescent="0.25">
      <c r="A50" s="3" t="s">
        <v>74</v>
      </c>
      <c r="B50" s="7" t="s">
        <v>75</v>
      </c>
      <c r="C50" s="3" t="s">
        <v>121</v>
      </c>
      <c r="D50" s="3" t="s">
        <v>158</v>
      </c>
      <c r="E50" s="3"/>
      <c r="F50" s="3"/>
      <c r="G50" s="3"/>
      <c r="H50" s="3"/>
      <c r="I50" s="3"/>
      <c r="J50" s="3"/>
      <c r="K50" s="7"/>
      <c r="L50" s="21"/>
      <c r="M50" s="3"/>
      <c r="N50" s="3"/>
      <c r="O50" s="27"/>
      <c r="P50" s="3"/>
      <c r="Q50" s="3"/>
      <c r="R50" s="7"/>
      <c r="S50" s="21"/>
    </row>
    <row r="51" spans="1:19" ht="30" x14ac:dyDescent="0.25">
      <c r="A51" s="3" t="s">
        <v>76</v>
      </c>
      <c r="B51" s="7" t="s">
        <v>77</v>
      </c>
      <c r="C51" s="3" t="s">
        <v>121</v>
      </c>
      <c r="D51" s="3" t="s">
        <v>158</v>
      </c>
      <c r="E51" s="3"/>
      <c r="F51" s="3"/>
      <c r="G51" s="3"/>
      <c r="H51" s="3"/>
      <c r="I51" s="3"/>
      <c r="J51" s="3"/>
      <c r="K51" s="7"/>
      <c r="L51" s="21"/>
      <c r="M51" s="3"/>
      <c r="N51" s="3"/>
      <c r="O51" s="27"/>
      <c r="P51" s="3"/>
      <c r="Q51" s="4" t="s">
        <v>19</v>
      </c>
      <c r="R51" s="7" t="s">
        <v>78</v>
      </c>
      <c r="S51" s="21"/>
    </row>
    <row r="52" spans="1:19" x14ac:dyDescent="0.25">
      <c r="A52" s="3" t="s">
        <v>79</v>
      </c>
      <c r="B52" s="7" t="s">
        <v>80</v>
      </c>
      <c r="C52" s="3" t="s">
        <v>121</v>
      </c>
      <c r="D52" s="3" t="s">
        <v>158</v>
      </c>
      <c r="E52" s="3"/>
      <c r="F52" s="3"/>
      <c r="G52" s="3"/>
      <c r="H52" s="3"/>
      <c r="I52" s="3"/>
      <c r="J52" s="3"/>
      <c r="K52" s="7"/>
      <c r="L52" s="21"/>
      <c r="M52" s="3"/>
      <c r="N52" s="3"/>
      <c r="O52" s="27"/>
      <c r="P52" s="3"/>
      <c r="Q52" s="3"/>
      <c r="R52" s="7"/>
      <c r="S52" s="21"/>
    </row>
    <row r="53" spans="1:19" x14ac:dyDescent="0.25">
      <c r="A53" s="3" t="s">
        <v>81</v>
      </c>
      <c r="B53" s="7" t="s">
        <v>82</v>
      </c>
      <c r="C53" s="3" t="s">
        <v>121</v>
      </c>
      <c r="D53" s="3" t="s">
        <v>158</v>
      </c>
      <c r="E53" s="3"/>
      <c r="F53" s="3"/>
      <c r="G53" s="3"/>
      <c r="H53" s="3"/>
      <c r="I53" s="3"/>
      <c r="J53" s="3"/>
      <c r="K53" s="7"/>
      <c r="L53" s="21"/>
      <c r="M53" s="3"/>
      <c r="N53" s="3"/>
      <c r="O53" s="27"/>
      <c r="P53" s="3"/>
      <c r="Q53" s="3"/>
      <c r="R53" s="7"/>
      <c r="S53" s="21"/>
    </row>
    <row r="54" spans="1:19" x14ac:dyDescent="0.25">
      <c r="A54" s="3" t="s">
        <v>83</v>
      </c>
      <c r="B54" s="7" t="s">
        <v>84</v>
      </c>
      <c r="C54" s="3" t="s">
        <v>121</v>
      </c>
      <c r="D54" s="3" t="s">
        <v>158</v>
      </c>
      <c r="E54" s="3"/>
      <c r="F54" s="3"/>
      <c r="G54" s="3"/>
      <c r="H54" s="3"/>
      <c r="I54" s="3"/>
      <c r="J54" s="3"/>
      <c r="K54" s="7"/>
      <c r="L54" s="21"/>
      <c r="M54" s="3"/>
      <c r="N54" s="3"/>
      <c r="O54" s="27"/>
      <c r="P54" s="3"/>
      <c r="Q54" s="3"/>
      <c r="R54" s="7"/>
      <c r="S54" s="21"/>
    </row>
    <row r="55" spans="1:19" ht="30" x14ac:dyDescent="0.25">
      <c r="A55" s="3" t="s">
        <v>85</v>
      </c>
      <c r="B55" s="7" t="s">
        <v>283</v>
      </c>
      <c r="C55" s="3" t="s">
        <v>121</v>
      </c>
      <c r="D55" s="3" t="s">
        <v>156</v>
      </c>
      <c r="E55" s="3"/>
      <c r="F55" s="3"/>
      <c r="G55" s="3"/>
      <c r="H55" s="3"/>
      <c r="I55" s="3"/>
      <c r="J55" s="3"/>
      <c r="K55" s="7"/>
      <c r="L55" s="21"/>
      <c r="M55" s="3"/>
      <c r="N55" s="3"/>
      <c r="O55" s="27"/>
      <c r="P55" s="3"/>
      <c r="Q55" s="4" t="s">
        <v>19</v>
      </c>
      <c r="R55" s="7" t="s">
        <v>86</v>
      </c>
      <c r="S55" s="21"/>
    </row>
    <row r="56" spans="1:19" x14ac:dyDescent="0.25">
      <c r="A56" s="3" t="s">
        <v>87</v>
      </c>
      <c r="B56" s="7" t="s">
        <v>329</v>
      </c>
      <c r="C56" s="3" t="s">
        <v>121</v>
      </c>
      <c r="D56" s="3" t="s">
        <v>159</v>
      </c>
      <c r="E56" s="3"/>
      <c r="F56" s="3"/>
      <c r="G56" s="3"/>
      <c r="H56" s="3"/>
      <c r="I56" s="3"/>
      <c r="J56" s="3"/>
      <c r="K56" s="7"/>
      <c r="L56" s="21"/>
      <c r="M56" s="3"/>
      <c r="N56" s="3"/>
      <c r="O56" s="27"/>
      <c r="P56" s="3"/>
      <c r="Q56" s="3" t="s">
        <v>88</v>
      </c>
      <c r="R56" s="7" t="s">
        <v>89</v>
      </c>
      <c r="S56" s="21"/>
    </row>
    <row r="57" spans="1:19" ht="30" x14ac:dyDescent="0.25">
      <c r="A57" s="3" t="s">
        <v>90</v>
      </c>
      <c r="B57" s="7" t="s">
        <v>91</v>
      </c>
      <c r="C57" s="3" t="s">
        <v>121</v>
      </c>
      <c r="D57" s="3" t="s">
        <v>161</v>
      </c>
      <c r="E57" s="3"/>
      <c r="F57" s="3"/>
      <c r="G57" s="3"/>
      <c r="H57" s="3"/>
      <c r="I57" s="3"/>
      <c r="J57" s="3"/>
      <c r="K57" s="7"/>
      <c r="L57" s="21"/>
      <c r="M57" s="3"/>
      <c r="N57" s="3"/>
      <c r="O57" s="27"/>
      <c r="P57" s="3"/>
      <c r="Q57" s="5" t="s">
        <v>23</v>
      </c>
      <c r="R57" s="7" t="s">
        <v>92</v>
      </c>
      <c r="S57" s="21"/>
    </row>
    <row r="58" spans="1:19" ht="30" x14ac:dyDescent="0.25">
      <c r="A58" s="3" t="s">
        <v>93</v>
      </c>
      <c r="B58" s="7" t="s">
        <v>94</v>
      </c>
      <c r="C58" s="3" t="s">
        <v>121</v>
      </c>
      <c r="D58" s="3" t="s">
        <v>162</v>
      </c>
      <c r="E58" s="20"/>
      <c r="F58" s="3"/>
      <c r="G58" s="3"/>
      <c r="H58" s="3"/>
      <c r="I58" s="3"/>
      <c r="J58" s="3"/>
      <c r="K58" s="7"/>
      <c r="L58" s="21"/>
      <c r="M58" s="3"/>
      <c r="N58" s="3"/>
      <c r="O58" s="27"/>
      <c r="P58" s="3"/>
      <c r="Q58" s="5" t="s">
        <v>23</v>
      </c>
      <c r="R58" s="7" t="s">
        <v>95</v>
      </c>
      <c r="S58" s="21"/>
    </row>
    <row r="59" spans="1:19" x14ac:dyDescent="0.25">
      <c r="A59" s="3" t="s">
        <v>96</v>
      </c>
      <c r="B59" s="7" t="s">
        <v>97</v>
      </c>
      <c r="C59" s="3" t="s">
        <v>121</v>
      </c>
      <c r="D59" s="3" t="s">
        <v>160</v>
      </c>
      <c r="E59" s="20"/>
      <c r="F59" s="3"/>
      <c r="G59" s="3"/>
      <c r="H59" s="3"/>
      <c r="I59" s="3"/>
      <c r="J59" s="3"/>
      <c r="K59" s="7"/>
      <c r="L59" s="21"/>
      <c r="M59" s="3"/>
      <c r="N59" s="3"/>
      <c r="O59" s="27"/>
      <c r="P59" s="3"/>
      <c r="Q59" s="4" t="s">
        <v>98</v>
      </c>
      <c r="R59" s="7" t="s">
        <v>99</v>
      </c>
      <c r="S59" s="21"/>
    </row>
    <row r="60" spans="1:19" x14ac:dyDescent="0.25">
      <c r="A60" s="3" t="s">
        <v>100</v>
      </c>
      <c r="B60" s="7" t="s">
        <v>101</v>
      </c>
      <c r="C60" s="3" t="s">
        <v>101</v>
      </c>
      <c r="D60" s="3" t="s">
        <v>101</v>
      </c>
      <c r="E60" s="20"/>
      <c r="F60" s="3"/>
      <c r="G60" s="3"/>
      <c r="H60" s="3"/>
      <c r="I60" s="3"/>
      <c r="J60" s="3"/>
      <c r="K60" s="7"/>
      <c r="L60" s="21"/>
      <c r="M60" s="3"/>
      <c r="N60" s="3"/>
      <c r="O60" s="27"/>
      <c r="P60" s="3"/>
      <c r="Q60" s="3"/>
      <c r="R60" s="7"/>
      <c r="S60" s="21"/>
    </row>
    <row r="61" spans="1:19" x14ac:dyDescent="0.25">
      <c r="A61" s="3" t="s">
        <v>102</v>
      </c>
      <c r="B61" s="7" t="s">
        <v>152</v>
      </c>
      <c r="C61" s="3" t="s">
        <v>152</v>
      </c>
      <c r="D61" s="3" t="s">
        <v>152</v>
      </c>
      <c r="E61" s="20"/>
      <c r="F61" s="3"/>
      <c r="G61" s="3"/>
      <c r="H61" s="3"/>
      <c r="I61" s="3"/>
      <c r="J61" s="3"/>
      <c r="K61" s="7"/>
      <c r="L61" s="21"/>
      <c r="M61" s="3"/>
      <c r="N61" s="3"/>
      <c r="O61" s="27"/>
      <c r="P61" s="3"/>
      <c r="Q61" s="3"/>
      <c r="R61" s="7"/>
      <c r="S61" s="21"/>
    </row>
    <row r="62" spans="1:19" ht="30" x14ac:dyDescent="0.25">
      <c r="A62" s="3" t="s">
        <v>103</v>
      </c>
      <c r="B62" s="7" t="s">
        <v>104</v>
      </c>
      <c r="C62" s="3" t="s">
        <v>104</v>
      </c>
      <c r="D62" s="3" t="s">
        <v>104</v>
      </c>
      <c r="E62" s="20"/>
      <c r="F62" s="3"/>
      <c r="G62" s="3"/>
      <c r="H62" s="3"/>
      <c r="I62" s="3"/>
      <c r="J62" s="3"/>
      <c r="K62" s="7"/>
      <c r="L62" s="21"/>
      <c r="M62" s="3"/>
      <c r="N62" s="3"/>
      <c r="O62" s="27"/>
      <c r="P62" s="3"/>
      <c r="Q62" s="3"/>
      <c r="R62" s="7"/>
      <c r="S62" s="21"/>
    </row>
    <row r="63" spans="1:19" ht="46.5" customHeight="1" x14ac:dyDescent="0.25">
      <c r="A63" s="3" t="s">
        <v>105</v>
      </c>
      <c r="B63" s="7" t="s">
        <v>106</v>
      </c>
      <c r="C63" s="3" t="s">
        <v>106</v>
      </c>
      <c r="D63" s="3" t="s">
        <v>106</v>
      </c>
      <c r="E63" s="20"/>
      <c r="F63" s="3"/>
      <c r="G63" s="3"/>
      <c r="H63" s="3"/>
      <c r="I63" s="3"/>
      <c r="J63" s="3"/>
      <c r="K63" s="7"/>
      <c r="L63" s="21"/>
      <c r="M63" s="3"/>
      <c r="N63" s="3"/>
      <c r="O63" s="27"/>
      <c r="P63" s="3"/>
      <c r="Q63" s="3"/>
      <c r="R63" s="7"/>
      <c r="S63" s="21"/>
    </row>
    <row r="64" spans="1:19" ht="90" x14ac:dyDescent="0.25">
      <c r="A64" s="3" t="s">
        <v>107</v>
      </c>
      <c r="B64" s="7" t="s">
        <v>345</v>
      </c>
      <c r="C64" s="3" t="s">
        <v>119</v>
      </c>
      <c r="D64" s="3" t="s">
        <v>108</v>
      </c>
      <c r="E64" s="20"/>
      <c r="F64" s="3"/>
      <c r="G64" s="3"/>
      <c r="H64" s="3"/>
      <c r="I64" s="3"/>
      <c r="J64" s="3"/>
      <c r="K64" s="7"/>
      <c r="L64" s="21"/>
      <c r="M64" s="3"/>
      <c r="N64" s="3"/>
      <c r="O64" s="27"/>
      <c r="P64" s="3"/>
      <c r="Q64" s="3"/>
      <c r="R64" s="7"/>
      <c r="S64" s="21"/>
    </row>
    <row r="65" spans="1:19" x14ac:dyDescent="0.25">
      <c r="A65" s="3" t="s">
        <v>109</v>
      </c>
      <c r="B65" s="7" t="s">
        <v>320</v>
      </c>
      <c r="C65" s="3" t="s">
        <v>120</v>
      </c>
      <c r="D65" s="3" t="s">
        <v>110</v>
      </c>
      <c r="E65" s="20"/>
      <c r="F65" s="3"/>
      <c r="G65" s="3"/>
      <c r="H65" s="3"/>
      <c r="I65" s="3"/>
      <c r="J65" s="3"/>
      <c r="K65" s="7"/>
      <c r="L65" s="21"/>
      <c r="M65" s="3"/>
      <c r="N65" s="3"/>
      <c r="O65" s="27"/>
      <c r="P65" s="3"/>
      <c r="Q65" s="6" t="s">
        <v>111</v>
      </c>
      <c r="R65" s="7"/>
      <c r="S65" s="21"/>
    </row>
    <row r="66" spans="1:19" x14ac:dyDescent="0.25">
      <c r="A66" s="3" t="s">
        <v>112</v>
      </c>
      <c r="B66" s="7" t="s">
        <v>113</v>
      </c>
      <c r="C66" s="3" t="s">
        <v>120</v>
      </c>
      <c r="D66" s="3" t="s">
        <v>113</v>
      </c>
      <c r="E66" s="20"/>
      <c r="F66" s="3"/>
      <c r="G66" s="3"/>
      <c r="H66" s="3"/>
      <c r="I66" s="3"/>
      <c r="J66" s="3"/>
      <c r="K66" s="7"/>
      <c r="L66" s="21"/>
      <c r="M66" s="3"/>
      <c r="N66" s="3"/>
      <c r="O66" s="27"/>
      <c r="P66" s="3"/>
      <c r="Q66" s="3"/>
      <c r="R66" s="7"/>
      <c r="S66" s="21"/>
    </row>
    <row r="67" spans="1:19" x14ac:dyDescent="0.25">
      <c r="A67" s="3" t="s">
        <v>114</v>
      </c>
      <c r="B67" s="7" t="s">
        <v>115</v>
      </c>
      <c r="C67" s="3" t="s">
        <v>120</v>
      </c>
      <c r="D67" s="3" t="s">
        <v>115</v>
      </c>
      <c r="E67" s="20"/>
      <c r="F67" s="3"/>
      <c r="G67" s="3"/>
      <c r="H67" s="3"/>
      <c r="I67" s="3"/>
      <c r="J67" s="3"/>
      <c r="K67" s="7"/>
      <c r="L67" s="21"/>
      <c r="M67" s="3"/>
      <c r="N67" s="3"/>
      <c r="O67" s="27"/>
      <c r="P67" s="3"/>
      <c r="Q67" s="3"/>
      <c r="R67" s="7"/>
      <c r="S67" s="21"/>
    </row>
    <row r="68" spans="1:19" x14ac:dyDescent="0.25">
      <c r="A68" s="3" t="s">
        <v>116</v>
      </c>
      <c r="B68" s="7" t="s">
        <v>117</v>
      </c>
      <c r="C68" s="3" t="s">
        <v>120</v>
      </c>
      <c r="D68" s="3" t="s">
        <v>117</v>
      </c>
      <c r="E68" s="20"/>
      <c r="F68" s="3"/>
      <c r="G68" s="3"/>
      <c r="H68" s="3"/>
      <c r="I68" s="3"/>
      <c r="J68" s="3"/>
      <c r="K68" s="7"/>
      <c r="L68" s="21"/>
      <c r="M68" s="3"/>
      <c r="N68" s="3"/>
      <c r="O68" s="27"/>
      <c r="P68" s="3"/>
      <c r="Q68" s="3"/>
      <c r="R68" s="7"/>
      <c r="S68" s="21"/>
    </row>
  </sheetData>
  <sheetProtection selectLockedCells="1" selectUnlockedCells="1"/>
  <autoFilter ref="A3:R68" xr:uid="{00000000-0009-0000-0000-000004000000}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S11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2" sqref="A2"/>
      <selection pane="bottomRight" activeCell="L4" sqref="L4"/>
    </sheetView>
  </sheetViews>
  <sheetFormatPr defaultRowHeight="15" x14ac:dyDescent="0.25"/>
  <cols>
    <col min="1" max="1" width="12.140625" style="1" bestFit="1" customWidth="1"/>
    <col min="2" max="2" width="29.7109375" style="8" customWidth="1"/>
    <col min="3" max="3" width="23" style="1" customWidth="1"/>
    <col min="4" max="4" width="15" style="1" customWidth="1"/>
    <col min="5" max="5" width="15.42578125" style="1" hidden="1" customWidth="1"/>
    <col min="6" max="6" width="16.5703125" style="1" hidden="1" customWidth="1"/>
    <col min="7" max="7" width="15.140625" style="1" hidden="1" customWidth="1"/>
    <col min="8" max="8" width="13.7109375" style="1" hidden="1" customWidth="1"/>
    <col min="9" max="10" width="14.42578125" style="1" hidden="1" customWidth="1"/>
    <col min="11" max="11" width="13.7109375" style="8" customWidth="1"/>
    <col min="12" max="12" width="30.140625" style="24" bestFit="1" customWidth="1"/>
    <col min="13" max="14" width="17.42578125" style="1" customWidth="1"/>
    <col min="15" max="15" width="13.7109375" style="10" customWidth="1"/>
    <col min="16" max="16" width="13.7109375" style="1" customWidth="1"/>
    <col min="17" max="17" width="19.7109375" style="1" customWidth="1"/>
    <col min="18" max="18" width="27" style="8" customWidth="1"/>
    <col min="19" max="19" width="41.5703125" style="19" customWidth="1"/>
  </cols>
  <sheetData>
    <row r="1" spans="1:19" x14ac:dyDescent="0.25">
      <c r="A1" s="13" t="s">
        <v>282</v>
      </c>
      <c r="B1" s="9"/>
      <c r="C1" s="9"/>
      <c r="D1" s="9"/>
      <c r="F1" s="9"/>
      <c r="G1" s="9"/>
      <c r="H1" s="9"/>
      <c r="I1" s="9"/>
      <c r="J1" s="9"/>
      <c r="M1" s="9"/>
      <c r="N1" s="9"/>
      <c r="O1" s="25"/>
      <c r="P1" s="9"/>
      <c r="Q1" s="9"/>
      <c r="R1" s="9"/>
      <c r="S1" s="18"/>
    </row>
    <row r="2" spans="1:19" s="11" customFormat="1" x14ac:dyDescent="0.25">
      <c r="A2" s="12">
        <v>1</v>
      </c>
      <c r="B2" s="10">
        <f>A2+1</f>
        <v>2</v>
      </c>
      <c r="C2" s="10">
        <f t="shared" ref="C2:S2" si="0">B2+1</f>
        <v>3</v>
      </c>
      <c r="D2" s="10">
        <f t="shared" si="0"/>
        <v>4</v>
      </c>
      <c r="E2" s="10">
        <f t="shared" si="0"/>
        <v>5</v>
      </c>
      <c r="F2" s="10">
        <f t="shared" si="0"/>
        <v>6</v>
      </c>
      <c r="G2" s="10">
        <f t="shared" si="0"/>
        <v>7</v>
      </c>
      <c r="H2" s="10">
        <f t="shared" si="0"/>
        <v>8</v>
      </c>
      <c r="I2" s="10">
        <f t="shared" si="0"/>
        <v>9</v>
      </c>
      <c r="J2" s="10">
        <f t="shared" si="0"/>
        <v>10</v>
      </c>
      <c r="K2" s="10">
        <f t="shared" si="0"/>
        <v>11</v>
      </c>
      <c r="L2" s="10">
        <f t="shared" si="0"/>
        <v>12</v>
      </c>
      <c r="M2" s="10">
        <f t="shared" si="0"/>
        <v>13</v>
      </c>
      <c r="N2" s="10">
        <f t="shared" ref="N2" si="1">M2+1</f>
        <v>14</v>
      </c>
      <c r="O2" s="10">
        <f t="shared" ref="O2" si="2">N2+1</f>
        <v>15</v>
      </c>
      <c r="P2" s="10">
        <f t="shared" ref="P2" si="3">O2+1</f>
        <v>16</v>
      </c>
      <c r="Q2" s="10">
        <f t="shared" ref="Q2" si="4">P2+1</f>
        <v>17</v>
      </c>
      <c r="R2" s="10">
        <f t="shared" si="0"/>
        <v>18</v>
      </c>
      <c r="S2" s="10">
        <f t="shared" si="0"/>
        <v>19</v>
      </c>
    </row>
    <row r="3" spans="1:19" s="1" customFormat="1" ht="60" x14ac:dyDescent="0.25">
      <c r="A3" s="2" t="s">
        <v>334</v>
      </c>
      <c r="B3" s="2" t="s">
        <v>357</v>
      </c>
      <c r="C3" s="2" t="s">
        <v>358</v>
      </c>
      <c r="D3" s="2" t="s">
        <v>359</v>
      </c>
      <c r="E3" s="2" t="s">
        <v>313</v>
      </c>
      <c r="F3" s="2" t="s">
        <v>312</v>
      </c>
      <c r="G3" s="2" t="s">
        <v>338</v>
      </c>
      <c r="H3" s="2" t="s">
        <v>315</v>
      </c>
      <c r="I3" s="2" t="s">
        <v>314</v>
      </c>
      <c r="J3" s="2" t="s">
        <v>342</v>
      </c>
      <c r="K3" s="2" t="s">
        <v>368</v>
      </c>
      <c r="L3" s="2" t="s">
        <v>378</v>
      </c>
      <c r="M3" s="2" t="s">
        <v>369</v>
      </c>
      <c r="N3" s="2" t="s">
        <v>370</v>
      </c>
      <c r="O3" s="26" t="s">
        <v>364</v>
      </c>
      <c r="P3" s="2" t="s">
        <v>343</v>
      </c>
      <c r="Q3" s="2" t="s">
        <v>279</v>
      </c>
      <c r="R3" s="1" t="s">
        <v>0</v>
      </c>
    </row>
    <row r="4" spans="1:19" ht="30" x14ac:dyDescent="0.25">
      <c r="A4" s="3" t="s">
        <v>1</v>
      </c>
      <c r="B4" s="7" t="s">
        <v>210</v>
      </c>
      <c r="C4" s="3" t="s">
        <v>118</v>
      </c>
      <c r="D4" s="3" t="s">
        <v>153</v>
      </c>
      <c r="E4" s="3" t="s">
        <v>336</v>
      </c>
      <c r="F4" s="3" t="s">
        <v>337</v>
      </c>
      <c r="G4" s="3" t="s">
        <v>339</v>
      </c>
      <c r="H4" s="3" t="s">
        <v>340</v>
      </c>
      <c r="I4" s="3" t="s">
        <v>341</v>
      </c>
      <c r="J4" s="3" t="s">
        <v>344</v>
      </c>
      <c r="K4" s="7" t="s">
        <v>347</v>
      </c>
      <c r="L4" s="21" t="str">
        <f t="shared" ref="L4:L26" si="5">E4&amp;" В, "&amp;F4&amp;" ("&amp;G4&amp;") А, "&amp;H4&amp;"/"&amp;I4&amp;", "&amp;IF(K4="-","без модуля связи",IF(COUNTIF(K4,"*,*")&gt;0, "модули связи: "&amp;K4,"модуль связи: "&amp;K4))</f>
        <v>230 В, 5 (100) А, 1/2, без модуля связи</v>
      </c>
      <c r="M4" s="3" t="s">
        <v>360</v>
      </c>
      <c r="N4" s="3" t="s">
        <v>347</v>
      </c>
      <c r="O4" s="27">
        <v>0</v>
      </c>
      <c r="P4" s="3"/>
      <c r="Q4" s="3" t="s">
        <v>19</v>
      </c>
      <c r="R4" s="7" t="s">
        <v>258</v>
      </c>
      <c r="S4" s="21" t="s">
        <v>296</v>
      </c>
    </row>
    <row r="5" spans="1:19" ht="30" x14ac:dyDescent="0.25">
      <c r="A5" s="3" t="s">
        <v>3</v>
      </c>
      <c r="B5" s="7" t="s">
        <v>211</v>
      </c>
      <c r="C5" s="3" t="s">
        <v>118</v>
      </c>
      <c r="D5" s="3" t="s">
        <v>153</v>
      </c>
      <c r="E5" s="3" t="s">
        <v>336</v>
      </c>
      <c r="F5" s="3" t="s">
        <v>337</v>
      </c>
      <c r="G5" s="3" t="s">
        <v>339</v>
      </c>
      <c r="H5" s="3" t="s">
        <v>340</v>
      </c>
      <c r="I5" s="3" t="s">
        <v>341</v>
      </c>
      <c r="J5" s="3" t="s">
        <v>344</v>
      </c>
      <c r="K5" s="7" t="s">
        <v>321</v>
      </c>
      <c r="L5" s="21" t="str">
        <f t="shared" si="5"/>
        <v>230 В, 5 (100) А, 1/2, модуль связи: MC.1-M-W</v>
      </c>
      <c r="M5" s="3" t="s">
        <v>347</v>
      </c>
      <c r="N5" s="3" t="s">
        <v>347</v>
      </c>
      <c r="O5" s="27">
        <v>0</v>
      </c>
      <c r="P5" s="3"/>
      <c r="Q5" s="3"/>
      <c r="R5" s="7"/>
      <c r="S5" s="21" t="e">
        <v>#N/A</v>
      </c>
    </row>
    <row r="6" spans="1:19" ht="30" x14ac:dyDescent="0.25">
      <c r="A6" s="3" t="s">
        <v>5</v>
      </c>
      <c r="B6" s="7" t="s">
        <v>212</v>
      </c>
      <c r="C6" s="3" t="s">
        <v>118</v>
      </c>
      <c r="D6" s="3" t="s">
        <v>153</v>
      </c>
      <c r="E6" s="3" t="s">
        <v>336</v>
      </c>
      <c r="F6" s="3" t="s">
        <v>337</v>
      </c>
      <c r="G6" s="3" t="s">
        <v>339</v>
      </c>
      <c r="H6" s="3" t="s">
        <v>340</v>
      </c>
      <c r="I6" s="3" t="s">
        <v>341</v>
      </c>
      <c r="J6" s="3" t="s">
        <v>344</v>
      </c>
      <c r="K6" s="7" t="s">
        <v>322</v>
      </c>
      <c r="L6" s="21" t="str">
        <f t="shared" si="5"/>
        <v>230 В, 5 (100) А, 1/2, модуль связи: MC.1-M-E</v>
      </c>
      <c r="M6" s="3" t="s">
        <v>347</v>
      </c>
      <c r="N6" s="3" t="s">
        <v>347</v>
      </c>
      <c r="O6" s="27">
        <v>0</v>
      </c>
      <c r="P6" s="3"/>
      <c r="Q6" s="3"/>
      <c r="R6" s="7"/>
      <c r="S6" s="21" t="e">
        <v>#N/A</v>
      </c>
    </row>
    <row r="7" spans="1:19" ht="30" x14ac:dyDescent="0.25">
      <c r="A7" s="3" t="s">
        <v>7</v>
      </c>
      <c r="B7" s="7" t="s">
        <v>213</v>
      </c>
      <c r="C7" s="3" t="s">
        <v>118</v>
      </c>
      <c r="D7" s="3" t="s">
        <v>153</v>
      </c>
      <c r="E7" s="3" t="s">
        <v>336</v>
      </c>
      <c r="F7" s="3" t="s">
        <v>337</v>
      </c>
      <c r="G7" s="3" t="s">
        <v>339</v>
      </c>
      <c r="H7" s="3" t="s">
        <v>340</v>
      </c>
      <c r="I7" s="3" t="s">
        <v>341</v>
      </c>
      <c r="J7" s="3" t="s">
        <v>344</v>
      </c>
      <c r="K7" s="7" t="s">
        <v>323</v>
      </c>
      <c r="L7" s="21" t="str">
        <f t="shared" si="5"/>
        <v>230 В, 5 (100) А, 1/2, модуль связи: MC.1-M-F</v>
      </c>
      <c r="M7" s="3" t="s">
        <v>347</v>
      </c>
      <c r="N7" s="3" t="s">
        <v>347</v>
      </c>
      <c r="O7" s="27">
        <v>0</v>
      </c>
      <c r="P7" s="3"/>
      <c r="Q7" s="3"/>
      <c r="R7" s="7"/>
      <c r="S7" s="21" t="e">
        <v>#N/A</v>
      </c>
    </row>
    <row r="8" spans="1:19" ht="30" x14ac:dyDescent="0.25">
      <c r="A8" s="3" t="s">
        <v>9</v>
      </c>
      <c r="B8" s="7" t="s">
        <v>214</v>
      </c>
      <c r="C8" s="3" t="s">
        <v>118</v>
      </c>
      <c r="D8" s="3" t="s">
        <v>153</v>
      </c>
      <c r="E8" s="3" t="s">
        <v>336</v>
      </c>
      <c r="F8" s="3" t="s">
        <v>337</v>
      </c>
      <c r="G8" s="3" t="s">
        <v>339</v>
      </c>
      <c r="H8" s="3" t="s">
        <v>340</v>
      </c>
      <c r="I8" s="3" t="s">
        <v>341</v>
      </c>
      <c r="J8" s="3" t="s">
        <v>344</v>
      </c>
      <c r="K8" s="7" t="s">
        <v>324</v>
      </c>
      <c r="L8" s="21" t="str">
        <f t="shared" si="5"/>
        <v>230 В, 5 (100) А, 1/2, модуль связи: MC.1-M-L</v>
      </c>
      <c r="M8" s="3" t="s">
        <v>347</v>
      </c>
      <c r="N8" s="3" t="s">
        <v>347</v>
      </c>
      <c r="O8" s="27">
        <v>0</v>
      </c>
      <c r="P8" s="3"/>
      <c r="Q8" s="3"/>
      <c r="R8" s="7"/>
      <c r="S8" s="21" t="e">
        <v>#N/A</v>
      </c>
    </row>
    <row r="9" spans="1:19" ht="30" x14ac:dyDescent="0.25">
      <c r="A9" s="3" t="s">
        <v>11</v>
      </c>
      <c r="B9" s="7" t="s">
        <v>215</v>
      </c>
      <c r="C9" s="3" t="s">
        <v>118</v>
      </c>
      <c r="D9" s="3" t="s">
        <v>153</v>
      </c>
      <c r="E9" s="3" t="s">
        <v>336</v>
      </c>
      <c r="F9" s="3" t="s">
        <v>337</v>
      </c>
      <c r="G9" s="3" t="s">
        <v>339</v>
      </c>
      <c r="H9" s="3" t="s">
        <v>340</v>
      </c>
      <c r="I9" s="3" t="s">
        <v>341</v>
      </c>
      <c r="J9" s="3" t="s">
        <v>344</v>
      </c>
      <c r="K9" s="7" t="s">
        <v>346</v>
      </c>
      <c r="L9" s="21" t="str">
        <f t="shared" si="5"/>
        <v>230 В, 5 (100) А, 1/2, модули связи: MC.1-M-G,MC.1-M-G1</v>
      </c>
      <c r="M9" s="1" t="s">
        <v>347</v>
      </c>
      <c r="N9" s="3" t="s">
        <v>361</v>
      </c>
      <c r="O9" s="27">
        <v>0</v>
      </c>
      <c r="P9" s="3"/>
      <c r="Q9" s="3" t="s">
        <v>19</v>
      </c>
      <c r="R9" s="7" t="s">
        <v>259</v>
      </c>
      <c r="S9" s="21" t="s">
        <v>294</v>
      </c>
    </row>
    <row r="10" spans="1:19" ht="30" x14ac:dyDescent="0.25">
      <c r="A10" s="3" t="s">
        <v>13</v>
      </c>
      <c r="B10" s="7" t="s">
        <v>216</v>
      </c>
      <c r="C10" s="3" t="s">
        <v>118</v>
      </c>
      <c r="D10" s="3" t="s">
        <v>153</v>
      </c>
      <c r="E10" s="3" t="s">
        <v>336</v>
      </c>
      <c r="F10" s="3" t="s">
        <v>337</v>
      </c>
      <c r="G10" s="3" t="s">
        <v>339</v>
      </c>
      <c r="H10" s="3" t="s">
        <v>340</v>
      </c>
      <c r="I10" s="3" t="s">
        <v>341</v>
      </c>
      <c r="J10" s="3" t="s">
        <v>344</v>
      </c>
      <c r="K10" s="7" t="s">
        <v>326</v>
      </c>
      <c r="L10" s="21" t="str">
        <f t="shared" si="5"/>
        <v>230 В, 5 (100) А, 1/2, модуль связи: MC.1-M-P</v>
      </c>
      <c r="M10" s="3" t="s">
        <v>347</v>
      </c>
      <c r="N10" s="3" t="s">
        <v>347</v>
      </c>
      <c r="O10" s="27">
        <v>0</v>
      </c>
      <c r="P10" s="3"/>
      <c r="Q10" s="3"/>
      <c r="R10" s="7"/>
      <c r="S10" s="21" t="e">
        <v>#N/A</v>
      </c>
    </row>
    <row r="11" spans="1:19" ht="30" x14ac:dyDescent="0.25">
      <c r="A11" s="3" t="s">
        <v>15</v>
      </c>
      <c r="B11" s="7" t="s">
        <v>217</v>
      </c>
      <c r="C11" s="3" t="s">
        <v>118</v>
      </c>
      <c r="D11" s="3" t="s">
        <v>153</v>
      </c>
      <c r="E11" s="3" t="s">
        <v>336</v>
      </c>
      <c r="F11" s="3" t="s">
        <v>337</v>
      </c>
      <c r="G11" s="3" t="s">
        <v>339</v>
      </c>
      <c r="H11" s="3" t="s">
        <v>340</v>
      </c>
      <c r="I11" s="3" t="s">
        <v>341</v>
      </c>
      <c r="J11" s="3" t="s">
        <v>344</v>
      </c>
      <c r="K11" s="7" t="s">
        <v>327</v>
      </c>
      <c r="L11" s="21" t="str">
        <f t="shared" si="5"/>
        <v>230 В, 5 (100) А, 1/2, модуль связи: MC.1-M-Z</v>
      </c>
      <c r="M11" s="3" t="s">
        <v>347</v>
      </c>
      <c r="N11" s="3" t="s">
        <v>347</v>
      </c>
      <c r="O11" s="27">
        <v>0</v>
      </c>
      <c r="P11" s="3"/>
      <c r="Q11" s="3"/>
      <c r="R11" s="7"/>
      <c r="S11" s="21" t="e">
        <v>#N/A</v>
      </c>
    </row>
    <row r="12" spans="1:19" ht="30" x14ac:dyDescent="0.25">
      <c r="A12" s="3" t="s">
        <v>17</v>
      </c>
      <c r="B12" s="7" t="s">
        <v>218</v>
      </c>
      <c r="C12" s="3" t="s">
        <v>118</v>
      </c>
      <c r="D12" s="3" t="s">
        <v>153</v>
      </c>
      <c r="E12" s="3" t="s">
        <v>336</v>
      </c>
      <c r="F12" s="3" t="s">
        <v>337</v>
      </c>
      <c r="G12" s="3" t="s">
        <v>339</v>
      </c>
      <c r="H12" s="3" t="s">
        <v>340</v>
      </c>
      <c r="I12" s="3" t="s">
        <v>341</v>
      </c>
      <c r="J12" s="3" t="s">
        <v>344</v>
      </c>
      <c r="K12" s="7" t="s">
        <v>328</v>
      </c>
      <c r="L12" s="21" t="str">
        <f t="shared" si="5"/>
        <v>230 В, 5 (100) А, 1/2, модуль связи: MC.1-M-M</v>
      </c>
      <c r="M12" s="3" t="s">
        <v>347</v>
      </c>
      <c r="N12" s="3" t="s">
        <v>347</v>
      </c>
      <c r="O12" s="27">
        <v>0</v>
      </c>
      <c r="P12" s="3"/>
      <c r="Q12" s="4"/>
      <c r="R12" s="7"/>
      <c r="S12" s="21" t="e">
        <v>#N/A</v>
      </c>
    </row>
    <row r="13" spans="1:19" ht="30" x14ac:dyDescent="0.25">
      <c r="A13" s="3" t="s">
        <v>21</v>
      </c>
      <c r="B13" s="7" t="s">
        <v>219</v>
      </c>
      <c r="C13" s="3" t="s">
        <v>118</v>
      </c>
      <c r="D13" s="3" t="s">
        <v>153</v>
      </c>
      <c r="E13" s="3" t="s">
        <v>336</v>
      </c>
      <c r="F13" s="3" t="s">
        <v>337</v>
      </c>
      <c r="G13" s="3" t="s">
        <v>339</v>
      </c>
      <c r="H13" s="3" t="s">
        <v>340</v>
      </c>
      <c r="I13" s="3" t="s">
        <v>341</v>
      </c>
      <c r="J13" s="3" t="s">
        <v>344</v>
      </c>
      <c r="K13" s="7" t="s">
        <v>356</v>
      </c>
      <c r="L13" s="21" t="str">
        <f t="shared" si="5"/>
        <v>230 В, 5 (100) А, 1/2, модуль связи: ?</v>
      </c>
      <c r="M13" s="3" t="s">
        <v>347</v>
      </c>
      <c r="N13" s="3" t="s">
        <v>347</v>
      </c>
      <c r="O13" s="27">
        <v>0</v>
      </c>
      <c r="P13" s="3"/>
      <c r="Q13" s="5" t="s">
        <v>23</v>
      </c>
      <c r="R13" s="7" t="s">
        <v>260</v>
      </c>
      <c r="S13" s="21" t="e">
        <v>#N/A</v>
      </c>
    </row>
    <row r="14" spans="1:19" ht="30" x14ac:dyDescent="0.25">
      <c r="A14" s="3" t="s">
        <v>25</v>
      </c>
      <c r="B14" s="7" t="s">
        <v>220</v>
      </c>
      <c r="C14" s="3" t="s">
        <v>118</v>
      </c>
      <c r="D14" s="3" t="s">
        <v>153</v>
      </c>
      <c r="E14" s="3" t="s">
        <v>336</v>
      </c>
      <c r="F14" s="3" t="s">
        <v>337</v>
      </c>
      <c r="G14" s="3" t="s">
        <v>339</v>
      </c>
      <c r="H14" s="3" t="s">
        <v>340</v>
      </c>
      <c r="I14" s="3" t="s">
        <v>341</v>
      </c>
      <c r="J14" s="3" t="s">
        <v>344</v>
      </c>
      <c r="K14" s="7" t="s">
        <v>356</v>
      </c>
      <c r="L14" s="21" t="str">
        <f t="shared" si="5"/>
        <v>230 В, 5 (100) А, 1/2, модуль связи: ?</v>
      </c>
      <c r="M14" s="3" t="s">
        <v>347</v>
      </c>
      <c r="N14" s="3" t="s">
        <v>347</v>
      </c>
      <c r="O14" s="27">
        <v>0</v>
      </c>
      <c r="P14" s="3"/>
      <c r="Q14" s="3"/>
      <c r="R14" s="7"/>
      <c r="S14" s="21" t="e">
        <v>#N/A</v>
      </c>
    </row>
    <row r="15" spans="1:19" ht="30" x14ac:dyDescent="0.25">
      <c r="A15" s="3" t="s">
        <v>27</v>
      </c>
      <c r="B15" s="7" t="s">
        <v>221</v>
      </c>
      <c r="C15" s="3" t="s">
        <v>118</v>
      </c>
      <c r="D15" s="3" t="s">
        <v>153</v>
      </c>
      <c r="E15" s="3" t="s">
        <v>336</v>
      </c>
      <c r="F15" s="3" t="s">
        <v>337</v>
      </c>
      <c r="G15" s="3" t="s">
        <v>339</v>
      </c>
      <c r="H15" s="3" t="s">
        <v>340</v>
      </c>
      <c r="I15" s="3" t="s">
        <v>341</v>
      </c>
      <c r="J15" s="3" t="s">
        <v>344</v>
      </c>
      <c r="K15" s="7" t="s">
        <v>356</v>
      </c>
      <c r="L15" s="21" t="str">
        <f t="shared" si="5"/>
        <v>230 В, 5 (100) А, 1/2, модуль связи: ?</v>
      </c>
      <c r="M15" s="3" t="s">
        <v>347</v>
      </c>
      <c r="N15" s="3" t="s">
        <v>347</v>
      </c>
      <c r="O15" s="27">
        <v>0</v>
      </c>
      <c r="P15" s="3"/>
      <c r="Q15" s="3"/>
      <c r="R15" s="7"/>
      <c r="S15" s="21" t="e">
        <v>#N/A</v>
      </c>
    </row>
    <row r="16" spans="1:19" ht="30" x14ac:dyDescent="0.25">
      <c r="A16" s="3" t="s">
        <v>29</v>
      </c>
      <c r="B16" s="7" t="s">
        <v>222</v>
      </c>
      <c r="C16" s="3" t="s">
        <v>118</v>
      </c>
      <c r="D16" s="3" t="s">
        <v>153</v>
      </c>
      <c r="E16" s="3" t="s">
        <v>336</v>
      </c>
      <c r="F16" s="3" t="s">
        <v>337</v>
      </c>
      <c r="G16" s="3" t="s">
        <v>339</v>
      </c>
      <c r="H16" s="3" t="s">
        <v>340</v>
      </c>
      <c r="I16" s="3" t="s">
        <v>341</v>
      </c>
      <c r="J16" s="3" t="s">
        <v>344</v>
      </c>
      <c r="K16" s="7" t="s">
        <v>356</v>
      </c>
      <c r="L16" s="21" t="str">
        <f t="shared" si="5"/>
        <v>230 В, 5 (100) А, 1/2, модуль связи: ?</v>
      </c>
      <c r="M16" s="3" t="s">
        <v>347</v>
      </c>
      <c r="N16" s="3" t="s">
        <v>347</v>
      </c>
      <c r="O16" s="27">
        <v>0</v>
      </c>
      <c r="P16" s="3"/>
      <c r="Q16" s="3"/>
      <c r="R16" s="7"/>
      <c r="S16" s="21" t="e">
        <v>#N/A</v>
      </c>
    </row>
    <row r="17" spans="1:19" ht="30" x14ac:dyDescent="0.25">
      <c r="A17" s="3" t="s">
        <v>31</v>
      </c>
      <c r="B17" s="7" t="s">
        <v>223</v>
      </c>
      <c r="C17" s="3" t="s">
        <v>118</v>
      </c>
      <c r="D17" s="3" t="s">
        <v>153</v>
      </c>
      <c r="E17" s="3" t="s">
        <v>336</v>
      </c>
      <c r="F17" s="3" t="s">
        <v>337</v>
      </c>
      <c r="G17" s="3" t="s">
        <v>339</v>
      </c>
      <c r="H17" s="3" t="s">
        <v>340</v>
      </c>
      <c r="I17" s="3" t="s">
        <v>341</v>
      </c>
      <c r="J17" s="3" t="s">
        <v>344</v>
      </c>
      <c r="K17" s="7" t="s">
        <v>356</v>
      </c>
      <c r="L17" s="21" t="str">
        <f t="shared" si="5"/>
        <v>230 В, 5 (100) А, 1/2, модуль связи: ?</v>
      </c>
      <c r="M17" s="3" t="s">
        <v>347</v>
      </c>
      <c r="N17" s="3" t="s">
        <v>347</v>
      </c>
      <c r="O17" s="27">
        <v>0</v>
      </c>
      <c r="P17" s="3"/>
      <c r="Q17" s="3"/>
      <c r="R17" s="7"/>
      <c r="S17" s="21" t="e">
        <v>#N/A</v>
      </c>
    </row>
    <row r="18" spans="1:19" ht="30" x14ac:dyDescent="0.25">
      <c r="A18" s="3" t="s">
        <v>33</v>
      </c>
      <c r="B18" s="7" t="s">
        <v>224</v>
      </c>
      <c r="C18" s="3" t="s">
        <v>118</v>
      </c>
      <c r="D18" s="3" t="s">
        <v>153</v>
      </c>
      <c r="E18" s="3" t="s">
        <v>336</v>
      </c>
      <c r="F18" s="3" t="s">
        <v>337</v>
      </c>
      <c r="G18" s="3" t="s">
        <v>339</v>
      </c>
      <c r="H18" s="3" t="s">
        <v>340</v>
      </c>
      <c r="I18" s="3" t="s">
        <v>341</v>
      </c>
      <c r="J18" s="3" t="s">
        <v>344</v>
      </c>
      <c r="K18" s="7" t="s">
        <v>91</v>
      </c>
      <c r="L18" s="21" t="str">
        <f t="shared" si="5"/>
        <v>230 В, 5 (100) А, 1/2, модуль связи: MC.1-S-G</v>
      </c>
      <c r="M18" s="3" t="s">
        <v>347</v>
      </c>
      <c r="N18" s="3" t="s">
        <v>347</v>
      </c>
      <c r="O18" s="27">
        <v>0</v>
      </c>
      <c r="P18" s="3"/>
      <c r="Q18" s="3" t="s">
        <v>23</v>
      </c>
      <c r="R18" s="7" t="s">
        <v>261</v>
      </c>
      <c r="S18" s="21" t="e">
        <v>#N/A</v>
      </c>
    </row>
    <row r="19" spans="1:19" ht="30" x14ac:dyDescent="0.25">
      <c r="A19" s="3" t="s">
        <v>35</v>
      </c>
      <c r="B19" s="7" t="s">
        <v>225</v>
      </c>
      <c r="C19" s="3" t="s">
        <v>118</v>
      </c>
      <c r="D19" s="3" t="s">
        <v>153</v>
      </c>
      <c r="E19" s="3" t="s">
        <v>336</v>
      </c>
      <c r="F19" s="3" t="s">
        <v>337</v>
      </c>
      <c r="G19" s="3" t="s">
        <v>339</v>
      </c>
      <c r="H19" s="3" t="s">
        <v>340</v>
      </c>
      <c r="I19" s="3" t="s">
        <v>341</v>
      </c>
      <c r="J19" s="3" t="s">
        <v>344</v>
      </c>
      <c r="K19" s="7" t="s">
        <v>356</v>
      </c>
      <c r="L19" s="21" t="str">
        <f t="shared" si="5"/>
        <v>230 В, 5 (100) А, 1/2, модуль связи: ?</v>
      </c>
      <c r="M19" s="3" t="s">
        <v>347</v>
      </c>
      <c r="N19" s="3" t="s">
        <v>347</v>
      </c>
      <c r="O19" s="27">
        <v>0</v>
      </c>
      <c r="P19" s="3"/>
      <c r="Q19" s="3"/>
      <c r="R19" s="7"/>
      <c r="S19" s="21" t="e">
        <v>#N/A</v>
      </c>
    </row>
    <row r="20" spans="1:19" ht="30" x14ac:dyDescent="0.25">
      <c r="A20" s="3" t="s">
        <v>163</v>
      </c>
      <c r="B20" s="7" t="s">
        <v>217</v>
      </c>
      <c r="C20" s="3" t="s">
        <v>118</v>
      </c>
      <c r="D20" s="3" t="s">
        <v>153</v>
      </c>
      <c r="E20" s="3" t="s">
        <v>336</v>
      </c>
      <c r="F20" s="3" t="s">
        <v>337</v>
      </c>
      <c r="G20" s="3" t="s">
        <v>339</v>
      </c>
      <c r="H20" s="3" t="s">
        <v>340</v>
      </c>
      <c r="I20" s="3" t="s">
        <v>341</v>
      </c>
      <c r="J20" s="3" t="s">
        <v>344</v>
      </c>
      <c r="K20" s="7" t="s">
        <v>327</v>
      </c>
      <c r="L20" s="21" t="str">
        <f t="shared" si="5"/>
        <v>230 В, 5 (100) А, 1/2, модуль связи: MC.1-M-Z</v>
      </c>
      <c r="M20" s="3" t="s">
        <v>347</v>
      </c>
      <c r="N20" s="3" t="s">
        <v>347</v>
      </c>
      <c r="O20" s="27">
        <v>0</v>
      </c>
      <c r="P20" s="3"/>
      <c r="Q20" s="5"/>
      <c r="R20" s="7"/>
      <c r="S20" s="21" t="e">
        <v>#N/A</v>
      </c>
    </row>
    <row r="21" spans="1:19" ht="30" x14ac:dyDescent="0.25">
      <c r="A21" s="3" t="s">
        <v>164</v>
      </c>
      <c r="B21" s="7" t="s">
        <v>218</v>
      </c>
      <c r="C21" s="3" t="s">
        <v>118</v>
      </c>
      <c r="D21" s="3" t="s">
        <v>153</v>
      </c>
      <c r="E21" s="3" t="s">
        <v>336</v>
      </c>
      <c r="F21" s="3" t="s">
        <v>337</v>
      </c>
      <c r="G21" s="3" t="s">
        <v>339</v>
      </c>
      <c r="H21" s="3" t="s">
        <v>340</v>
      </c>
      <c r="I21" s="3" t="s">
        <v>341</v>
      </c>
      <c r="J21" s="3" t="s">
        <v>344</v>
      </c>
      <c r="K21" s="7" t="s">
        <v>328</v>
      </c>
      <c r="L21" s="21" t="str">
        <f t="shared" si="5"/>
        <v>230 В, 5 (100) А, 1/2, модуль связи: MC.1-M-M</v>
      </c>
      <c r="M21" s="3" t="s">
        <v>347</v>
      </c>
      <c r="N21" s="3" t="s">
        <v>347</v>
      </c>
      <c r="O21" s="27">
        <v>0</v>
      </c>
      <c r="P21" s="3"/>
      <c r="Q21" s="3"/>
      <c r="R21" s="7"/>
      <c r="S21" s="21" t="e">
        <v>#N/A</v>
      </c>
    </row>
    <row r="22" spans="1:19" ht="30" x14ac:dyDescent="0.25">
      <c r="A22" s="3" t="s">
        <v>165</v>
      </c>
      <c r="B22" s="7" t="s">
        <v>2</v>
      </c>
      <c r="C22" s="3" t="s">
        <v>118</v>
      </c>
      <c r="D22" s="3" t="s">
        <v>153</v>
      </c>
      <c r="E22" s="3" t="s">
        <v>336</v>
      </c>
      <c r="F22" s="3" t="s">
        <v>337</v>
      </c>
      <c r="G22" s="3" t="s">
        <v>350</v>
      </c>
      <c r="H22" s="3" t="s">
        <v>340</v>
      </c>
      <c r="I22" s="3" t="s">
        <v>341</v>
      </c>
      <c r="J22" s="3" t="s">
        <v>344</v>
      </c>
      <c r="K22" s="7" t="s">
        <v>347</v>
      </c>
      <c r="L22" s="21" t="str">
        <f t="shared" si="5"/>
        <v>230 В, 5 (60) А, 1/2, без модуля связи</v>
      </c>
      <c r="M22" s="3" t="s">
        <v>360</v>
      </c>
      <c r="N22" s="3" t="s">
        <v>347</v>
      </c>
      <c r="O22" s="27">
        <v>0</v>
      </c>
      <c r="P22" s="3"/>
      <c r="Q22" s="3" t="s">
        <v>19</v>
      </c>
      <c r="R22" s="7" t="s">
        <v>262</v>
      </c>
      <c r="S22" s="21" t="s">
        <v>288</v>
      </c>
    </row>
    <row r="23" spans="1:19" ht="30" x14ac:dyDescent="0.25">
      <c r="A23" s="3" t="s">
        <v>166</v>
      </c>
      <c r="B23" s="7" t="s">
        <v>226</v>
      </c>
      <c r="C23" s="3" t="s">
        <v>118</v>
      </c>
      <c r="D23" s="3" t="s">
        <v>153</v>
      </c>
      <c r="E23" s="3" t="s">
        <v>336</v>
      </c>
      <c r="F23" s="3" t="s">
        <v>337</v>
      </c>
      <c r="G23" s="3" t="s">
        <v>350</v>
      </c>
      <c r="H23" s="3" t="s">
        <v>340</v>
      </c>
      <c r="I23" s="3" t="s">
        <v>341</v>
      </c>
      <c r="J23" s="3" t="s">
        <v>344</v>
      </c>
      <c r="K23" s="7" t="s">
        <v>321</v>
      </c>
      <c r="L23" s="21" t="str">
        <f t="shared" si="5"/>
        <v>230 В, 5 (60) А, 1/2, модуль связи: MC.1-M-W</v>
      </c>
      <c r="M23" s="3" t="s">
        <v>347</v>
      </c>
      <c r="N23" s="3" t="s">
        <v>347</v>
      </c>
      <c r="O23" s="27">
        <v>0</v>
      </c>
      <c r="P23" s="3"/>
      <c r="Q23" s="3"/>
      <c r="R23" s="7"/>
      <c r="S23" s="21" t="e">
        <v>#N/A</v>
      </c>
    </row>
    <row r="24" spans="1:19" ht="30" x14ac:dyDescent="0.25">
      <c r="A24" s="3" t="s">
        <v>167</v>
      </c>
      <c r="B24" s="7" t="s">
        <v>227</v>
      </c>
      <c r="C24" s="3" t="s">
        <v>118</v>
      </c>
      <c r="D24" s="3" t="s">
        <v>153</v>
      </c>
      <c r="E24" s="3" t="s">
        <v>336</v>
      </c>
      <c r="F24" s="3" t="s">
        <v>337</v>
      </c>
      <c r="G24" s="3" t="s">
        <v>350</v>
      </c>
      <c r="H24" s="3" t="s">
        <v>340</v>
      </c>
      <c r="I24" s="3" t="s">
        <v>341</v>
      </c>
      <c r="J24" s="3" t="s">
        <v>344</v>
      </c>
      <c r="K24" s="7" t="s">
        <v>322</v>
      </c>
      <c r="L24" s="21" t="str">
        <f t="shared" si="5"/>
        <v>230 В, 5 (60) А, 1/2, модуль связи: MC.1-M-E</v>
      </c>
      <c r="M24" s="3" t="s">
        <v>347</v>
      </c>
      <c r="N24" s="3" t="s">
        <v>347</v>
      </c>
      <c r="O24" s="27">
        <v>0</v>
      </c>
      <c r="P24" s="3"/>
      <c r="Q24" s="3"/>
      <c r="R24" s="7"/>
      <c r="S24" s="21" t="e">
        <v>#N/A</v>
      </c>
    </row>
    <row r="25" spans="1:19" ht="30" x14ac:dyDescent="0.25">
      <c r="A25" s="3" t="s">
        <v>168</v>
      </c>
      <c r="B25" s="7" t="s">
        <v>228</v>
      </c>
      <c r="C25" s="3" t="s">
        <v>118</v>
      </c>
      <c r="D25" s="3" t="s">
        <v>153</v>
      </c>
      <c r="E25" s="3" t="s">
        <v>336</v>
      </c>
      <c r="F25" s="3" t="s">
        <v>337</v>
      </c>
      <c r="G25" s="3" t="s">
        <v>350</v>
      </c>
      <c r="H25" s="3" t="s">
        <v>340</v>
      </c>
      <c r="I25" s="3" t="s">
        <v>341</v>
      </c>
      <c r="J25" s="3" t="s">
        <v>344</v>
      </c>
      <c r="K25" s="7" t="s">
        <v>323</v>
      </c>
      <c r="L25" s="21" t="str">
        <f t="shared" si="5"/>
        <v>230 В, 5 (60) А, 1/2, модуль связи: MC.1-M-F</v>
      </c>
      <c r="M25" s="3" t="s">
        <v>347</v>
      </c>
      <c r="N25" s="3" t="s">
        <v>347</v>
      </c>
      <c r="O25" s="27">
        <v>0</v>
      </c>
      <c r="P25" s="3"/>
      <c r="Q25" s="3"/>
      <c r="R25" s="7"/>
      <c r="S25" s="21" t="e">
        <v>#N/A</v>
      </c>
    </row>
    <row r="26" spans="1:19" ht="30" x14ac:dyDescent="0.25">
      <c r="A26" s="3" t="s">
        <v>169</v>
      </c>
      <c r="B26" s="7" t="s">
        <v>229</v>
      </c>
      <c r="C26" s="3" t="s">
        <v>118</v>
      </c>
      <c r="D26" s="3" t="s">
        <v>153</v>
      </c>
      <c r="E26" s="3" t="s">
        <v>336</v>
      </c>
      <c r="F26" s="3" t="s">
        <v>337</v>
      </c>
      <c r="G26" s="3" t="s">
        <v>350</v>
      </c>
      <c r="H26" s="3" t="s">
        <v>340</v>
      </c>
      <c r="I26" s="3" t="s">
        <v>341</v>
      </c>
      <c r="J26" s="3" t="s">
        <v>344</v>
      </c>
      <c r="K26" s="7" t="s">
        <v>324</v>
      </c>
      <c r="L26" s="21" t="str">
        <f t="shared" si="5"/>
        <v>230 В, 5 (60) А, 1/2, модуль связи: MC.1-M-L</v>
      </c>
      <c r="M26" s="3" t="s">
        <v>347</v>
      </c>
      <c r="N26" s="3" t="s">
        <v>347</v>
      </c>
      <c r="O26" s="27">
        <v>0</v>
      </c>
      <c r="P26" s="3"/>
      <c r="Q26" s="3"/>
      <c r="R26" s="7"/>
      <c r="S26" s="21" t="e">
        <v>#N/A</v>
      </c>
    </row>
    <row r="27" spans="1:19" ht="30" x14ac:dyDescent="0.25">
      <c r="A27" s="3" t="s">
        <v>170</v>
      </c>
      <c r="B27" s="7" t="s">
        <v>230</v>
      </c>
      <c r="C27" s="3" t="s">
        <v>118</v>
      </c>
      <c r="D27" s="3" t="s">
        <v>153</v>
      </c>
      <c r="E27" s="3" t="s">
        <v>336</v>
      </c>
      <c r="F27" s="3" t="s">
        <v>337</v>
      </c>
      <c r="G27" s="3" t="s">
        <v>350</v>
      </c>
      <c r="H27" s="3" t="s">
        <v>340</v>
      </c>
      <c r="I27" s="3" t="s">
        <v>341</v>
      </c>
      <c r="J27" s="3" t="s">
        <v>344</v>
      </c>
      <c r="K27" s="7" t="s">
        <v>346</v>
      </c>
      <c r="L27" s="21" t="str">
        <f>E27&amp;" В, "&amp;F27&amp;" ("&amp;G27&amp;") А, "&amp;H27&amp;"/"&amp;I27&amp;", "&amp;IF(K27="-","без модуля связи",IF(COUNTIF(K27,"*,*")&gt;0, "модули связи: "&amp;K27,"модуль связи: "&amp;K27))</f>
        <v>230 В, 5 (60) А, 1/2, модули связи: MC.1-M-G,MC.1-M-G1</v>
      </c>
      <c r="M27" s="3" t="s">
        <v>347</v>
      </c>
      <c r="N27" s="3" t="s">
        <v>361</v>
      </c>
      <c r="O27" s="27">
        <v>0</v>
      </c>
      <c r="P27" s="3"/>
      <c r="Q27" s="3" t="s">
        <v>19</v>
      </c>
      <c r="R27" s="7" t="s">
        <v>263</v>
      </c>
      <c r="S27" s="21" t="s">
        <v>287</v>
      </c>
    </row>
    <row r="28" spans="1:19" ht="30" x14ac:dyDescent="0.25">
      <c r="A28" s="3" t="s">
        <v>171</v>
      </c>
      <c r="B28" s="7" t="s">
        <v>231</v>
      </c>
      <c r="C28" s="3" t="s">
        <v>118</v>
      </c>
      <c r="D28" s="3" t="s">
        <v>153</v>
      </c>
      <c r="E28" s="3" t="s">
        <v>336</v>
      </c>
      <c r="F28" s="3" t="s">
        <v>337</v>
      </c>
      <c r="G28" s="3" t="s">
        <v>350</v>
      </c>
      <c r="H28" s="3" t="s">
        <v>340</v>
      </c>
      <c r="I28" s="3" t="s">
        <v>341</v>
      </c>
      <c r="J28" s="3" t="s">
        <v>344</v>
      </c>
      <c r="K28" s="7" t="s">
        <v>326</v>
      </c>
      <c r="L28" s="21" t="str">
        <f>E28&amp;" В, "&amp;F28&amp;" ("&amp;G28&amp;") А, "&amp;H28&amp;"/"&amp;I28&amp;", "&amp;IF(K28="-","без модуля связи",IF(COUNTIF(K28,"*,*")&gt;0, "модули связи: "&amp;K28,"модуль связи: "&amp;K28))</f>
        <v>230 В, 5 (60) А, 1/2, модуль связи: MC.1-M-P</v>
      </c>
      <c r="M28" s="3" t="s">
        <v>347</v>
      </c>
      <c r="N28" s="3" t="s">
        <v>347</v>
      </c>
      <c r="O28" s="27">
        <v>0</v>
      </c>
      <c r="P28" s="3"/>
      <c r="Q28" s="3"/>
      <c r="R28" s="7"/>
      <c r="S28" s="21" t="e">
        <v>#N/A</v>
      </c>
    </row>
    <row r="29" spans="1:19" ht="30" x14ac:dyDescent="0.25">
      <c r="A29" s="3" t="s">
        <v>172</v>
      </c>
      <c r="B29" s="7" t="s">
        <v>232</v>
      </c>
      <c r="C29" s="3" t="s">
        <v>118</v>
      </c>
      <c r="D29" s="3" t="s">
        <v>153</v>
      </c>
      <c r="E29" s="3" t="s">
        <v>336</v>
      </c>
      <c r="F29" s="3" t="s">
        <v>337</v>
      </c>
      <c r="G29" s="3" t="s">
        <v>350</v>
      </c>
      <c r="H29" s="3" t="s">
        <v>340</v>
      </c>
      <c r="I29" s="3" t="s">
        <v>341</v>
      </c>
      <c r="J29" s="3" t="s">
        <v>344</v>
      </c>
      <c r="K29" s="7" t="s">
        <v>327</v>
      </c>
      <c r="L29" s="21" t="str">
        <f t="shared" ref="L29:L84" si="6">E29&amp;" В, "&amp;F29&amp;" ("&amp;G29&amp;") А, "&amp;H29&amp;"/"&amp;I29&amp;", "&amp;IF(K29="-","без модуля связи",IF(COUNTIF(K29,"*,*")&gt;0, "модули связи: "&amp;K29,"модуль связи: "&amp;K29))</f>
        <v>230 В, 5 (60) А, 1/2, модуль связи: MC.1-M-Z</v>
      </c>
      <c r="M29" s="3" t="s">
        <v>347</v>
      </c>
      <c r="N29" s="3" t="s">
        <v>347</v>
      </c>
      <c r="O29" s="27">
        <v>0</v>
      </c>
      <c r="P29" s="3"/>
      <c r="Q29" s="3"/>
      <c r="R29" s="7"/>
      <c r="S29" s="21" t="e">
        <v>#N/A</v>
      </c>
    </row>
    <row r="30" spans="1:19" ht="30" x14ac:dyDescent="0.25">
      <c r="A30" s="3" t="s">
        <v>173</v>
      </c>
      <c r="B30" s="7" t="s">
        <v>233</v>
      </c>
      <c r="C30" s="3" t="s">
        <v>118</v>
      </c>
      <c r="D30" s="3" t="s">
        <v>153</v>
      </c>
      <c r="E30" s="3" t="s">
        <v>336</v>
      </c>
      <c r="F30" s="3" t="s">
        <v>337</v>
      </c>
      <c r="G30" s="3" t="s">
        <v>350</v>
      </c>
      <c r="H30" s="3" t="s">
        <v>340</v>
      </c>
      <c r="I30" s="3" t="s">
        <v>341</v>
      </c>
      <c r="J30" s="3" t="s">
        <v>344</v>
      </c>
      <c r="K30" s="7" t="s">
        <v>328</v>
      </c>
      <c r="L30" s="21" t="str">
        <f t="shared" si="6"/>
        <v>230 В, 5 (60) А, 1/2, модуль связи: MC.1-M-M</v>
      </c>
      <c r="M30" s="3" t="s">
        <v>347</v>
      </c>
      <c r="N30" s="3" t="s">
        <v>347</v>
      </c>
      <c r="O30" s="27">
        <v>0</v>
      </c>
      <c r="P30" s="3"/>
      <c r="Q30" s="3"/>
      <c r="R30" s="7"/>
      <c r="S30" s="21" t="e">
        <v>#N/A</v>
      </c>
    </row>
    <row r="31" spans="1:19" ht="30" x14ac:dyDescent="0.25">
      <c r="A31" s="3" t="s">
        <v>174</v>
      </c>
      <c r="B31" s="7" t="s">
        <v>4</v>
      </c>
      <c r="C31" s="3" t="s">
        <v>118</v>
      </c>
      <c r="D31" s="3" t="s">
        <v>153</v>
      </c>
      <c r="E31" s="3" t="s">
        <v>336</v>
      </c>
      <c r="F31" s="3" t="s">
        <v>337</v>
      </c>
      <c r="G31" s="3" t="s">
        <v>350</v>
      </c>
      <c r="H31" s="3" t="s">
        <v>340</v>
      </c>
      <c r="I31" s="3" t="s">
        <v>341</v>
      </c>
      <c r="J31" s="3" t="s">
        <v>344</v>
      </c>
      <c r="K31" s="7" t="s">
        <v>356</v>
      </c>
      <c r="L31" s="21" t="str">
        <f t="shared" si="6"/>
        <v>230 В, 5 (60) А, 1/2, модуль связи: ?</v>
      </c>
      <c r="M31" s="3" t="s">
        <v>347</v>
      </c>
      <c r="N31" s="3" t="s">
        <v>347</v>
      </c>
      <c r="O31" s="27">
        <v>0</v>
      </c>
      <c r="P31" s="3"/>
      <c r="Q31" s="3" t="s">
        <v>23</v>
      </c>
      <c r="R31" s="7" t="s">
        <v>264</v>
      </c>
      <c r="S31" s="21" t="e">
        <v>#N/A</v>
      </c>
    </row>
    <row r="32" spans="1:19" ht="30" x14ac:dyDescent="0.25">
      <c r="A32" s="3" t="s">
        <v>175</v>
      </c>
      <c r="B32" s="7" t="s">
        <v>6</v>
      </c>
      <c r="C32" s="3" t="s">
        <v>118</v>
      </c>
      <c r="D32" s="3" t="s">
        <v>153</v>
      </c>
      <c r="E32" s="3" t="s">
        <v>336</v>
      </c>
      <c r="F32" s="3" t="s">
        <v>337</v>
      </c>
      <c r="G32" s="3" t="s">
        <v>350</v>
      </c>
      <c r="H32" s="3" t="s">
        <v>340</v>
      </c>
      <c r="I32" s="3" t="s">
        <v>341</v>
      </c>
      <c r="J32" s="3" t="s">
        <v>344</v>
      </c>
      <c r="K32" s="7" t="s">
        <v>356</v>
      </c>
      <c r="L32" s="21" t="str">
        <f t="shared" si="6"/>
        <v>230 В, 5 (60) А, 1/2, модуль связи: ?</v>
      </c>
      <c r="M32" s="3" t="s">
        <v>347</v>
      </c>
      <c r="N32" s="3" t="s">
        <v>347</v>
      </c>
      <c r="O32" s="27">
        <v>0</v>
      </c>
      <c r="P32" s="3"/>
      <c r="Q32" s="3"/>
      <c r="R32" s="7"/>
      <c r="S32" s="21" t="e">
        <v>#N/A</v>
      </c>
    </row>
    <row r="33" spans="1:19" ht="30" x14ac:dyDescent="0.25">
      <c r="A33" s="3" t="s">
        <v>176</v>
      </c>
      <c r="B33" s="7" t="s">
        <v>8</v>
      </c>
      <c r="C33" s="3" t="s">
        <v>118</v>
      </c>
      <c r="D33" s="3" t="s">
        <v>153</v>
      </c>
      <c r="E33" s="3" t="s">
        <v>336</v>
      </c>
      <c r="F33" s="3" t="s">
        <v>337</v>
      </c>
      <c r="G33" s="3" t="s">
        <v>350</v>
      </c>
      <c r="H33" s="3" t="s">
        <v>340</v>
      </c>
      <c r="I33" s="3" t="s">
        <v>341</v>
      </c>
      <c r="J33" s="3" t="s">
        <v>344</v>
      </c>
      <c r="K33" s="7" t="s">
        <v>356</v>
      </c>
      <c r="L33" s="21" t="str">
        <f t="shared" si="6"/>
        <v>230 В, 5 (60) А, 1/2, модуль связи: ?</v>
      </c>
      <c r="M33" s="3" t="s">
        <v>347</v>
      </c>
      <c r="N33" s="3" t="s">
        <v>347</v>
      </c>
      <c r="O33" s="27">
        <v>0</v>
      </c>
      <c r="P33" s="3"/>
      <c r="Q33" s="3"/>
      <c r="R33" s="7"/>
      <c r="S33" s="21" t="e">
        <v>#N/A</v>
      </c>
    </row>
    <row r="34" spans="1:19" ht="30" x14ac:dyDescent="0.25">
      <c r="A34" s="3" t="s">
        <v>177</v>
      </c>
      <c r="B34" s="7" t="s">
        <v>10</v>
      </c>
      <c r="C34" s="3" t="s">
        <v>118</v>
      </c>
      <c r="D34" s="3" t="s">
        <v>153</v>
      </c>
      <c r="E34" s="3" t="s">
        <v>336</v>
      </c>
      <c r="F34" s="3" t="s">
        <v>337</v>
      </c>
      <c r="G34" s="3" t="s">
        <v>350</v>
      </c>
      <c r="H34" s="3" t="s">
        <v>340</v>
      </c>
      <c r="I34" s="3" t="s">
        <v>341</v>
      </c>
      <c r="J34" s="3" t="s">
        <v>344</v>
      </c>
      <c r="K34" s="7" t="s">
        <v>356</v>
      </c>
      <c r="L34" s="21" t="str">
        <f t="shared" si="6"/>
        <v>230 В, 5 (60) А, 1/2, модуль связи: ?</v>
      </c>
      <c r="M34" s="3" t="s">
        <v>347</v>
      </c>
      <c r="N34" s="3" t="s">
        <v>347</v>
      </c>
      <c r="O34" s="27">
        <v>0</v>
      </c>
      <c r="P34" s="3"/>
      <c r="Q34" s="4"/>
      <c r="R34" s="7"/>
      <c r="S34" s="21" t="e">
        <v>#N/A</v>
      </c>
    </row>
    <row r="35" spans="1:19" ht="30" x14ac:dyDescent="0.25">
      <c r="A35" s="3" t="s">
        <v>178</v>
      </c>
      <c r="B35" s="7" t="s">
        <v>12</v>
      </c>
      <c r="C35" s="3" t="s">
        <v>118</v>
      </c>
      <c r="D35" s="3" t="s">
        <v>153</v>
      </c>
      <c r="E35" s="3" t="s">
        <v>336</v>
      </c>
      <c r="F35" s="3" t="s">
        <v>337</v>
      </c>
      <c r="G35" s="3" t="s">
        <v>350</v>
      </c>
      <c r="H35" s="3" t="s">
        <v>340</v>
      </c>
      <c r="I35" s="3" t="s">
        <v>341</v>
      </c>
      <c r="J35" s="3" t="s">
        <v>344</v>
      </c>
      <c r="K35" s="7" t="s">
        <v>356</v>
      </c>
      <c r="L35" s="21" t="str">
        <f t="shared" si="6"/>
        <v>230 В, 5 (60) А, 1/2, модуль связи: ?</v>
      </c>
      <c r="M35" s="3" t="s">
        <v>347</v>
      </c>
      <c r="N35" s="3" t="s">
        <v>347</v>
      </c>
      <c r="O35" s="27">
        <v>0</v>
      </c>
      <c r="P35" s="3"/>
      <c r="Q35" s="3"/>
      <c r="R35" s="7"/>
      <c r="S35" s="21" t="e">
        <v>#N/A</v>
      </c>
    </row>
    <row r="36" spans="1:19" ht="30" x14ac:dyDescent="0.25">
      <c r="A36" s="3" t="s">
        <v>179</v>
      </c>
      <c r="B36" s="7" t="s">
        <v>14</v>
      </c>
      <c r="C36" s="3" t="s">
        <v>118</v>
      </c>
      <c r="D36" s="3" t="s">
        <v>153</v>
      </c>
      <c r="E36" s="3" t="s">
        <v>336</v>
      </c>
      <c r="F36" s="3" t="s">
        <v>337</v>
      </c>
      <c r="G36" s="3" t="s">
        <v>350</v>
      </c>
      <c r="H36" s="3" t="s">
        <v>340</v>
      </c>
      <c r="I36" s="3" t="s">
        <v>341</v>
      </c>
      <c r="J36" s="3" t="s">
        <v>344</v>
      </c>
      <c r="K36" s="7" t="s">
        <v>91</v>
      </c>
      <c r="L36" s="21" t="str">
        <f t="shared" si="6"/>
        <v>230 В, 5 (60) А, 1/2, модуль связи: MC.1-S-G</v>
      </c>
      <c r="M36" s="3" t="s">
        <v>347</v>
      </c>
      <c r="N36" s="3" t="s">
        <v>347</v>
      </c>
      <c r="O36" s="27">
        <v>0</v>
      </c>
      <c r="P36" s="3"/>
      <c r="Q36" s="3" t="s">
        <v>23</v>
      </c>
      <c r="R36" s="7" t="s">
        <v>265</v>
      </c>
      <c r="S36" s="21" t="e">
        <v>#N/A</v>
      </c>
    </row>
    <row r="37" spans="1:19" ht="30" x14ac:dyDescent="0.25">
      <c r="A37" s="3" t="s">
        <v>180</v>
      </c>
      <c r="B37" s="7" t="s">
        <v>16</v>
      </c>
      <c r="C37" s="3" t="s">
        <v>118</v>
      </c>
      <c r="D37" s="3" t="s">
        <v>153</v>
      </c>
      <c r="E37" s="3" t="s">
        <v>336</v>
      </c>
      <c r="F37" s="3" t="s">
        <v>337</v>
      </c>
      <c r="G37" s="3" t="s">
        <v>350</v>
      </c>
      <c r="H37" s="3" t="s">
        <v>340</v>
      </c>
      <c r="I37" s="3" t="s">
        <v>341</v>
      </c>
      <c r="J37" s="3" t="s">
        <v>344</v>
      </c>
      <c r="K37" s="7" t="s">
        <v>356</v>
      </c>
      <c r="L37" s="21" t="str">
        <f t="shared" si="6"/>
        <v>230 В, 5 (60) А, 1/2, модуль связи: ?</v>
      </c>
      <c r="M37" s="3" t="s">
        <v>347</v>
      </c>
      <c r="N37" s="3" t="s">
        <v>347</v>
      </c>
      <c r="O37" s="27">
        <v>0</v>
      </c>
      <c r="P37" s="3"/>
      <c r="Q37" s="3"/>
      <c r="R37" s="7"/>
      <c r="S37" s="21" t="e">
        <v>#N/A</v>
      </c>
    </row>
    <row r="38" spans="1:19" ht="30" x14ac:dyDescent="0.25">
      <c r="A38" s="3" t="s">
        <v>181</v>
      </c>
      <c r="B38" s="7" t="s">
        <v>232</v>
      </c>
      <c r="C38" s="3" t="s">
        <v>118</v>
      </c>
      <c r="D38" s="3" t="s">
        <v>153</v>
      </c>
      <c r="E38" s="3" t="s">
        <v>336</v>
      </c>
      <c r="F38" s="3" t="s">
        <v>337</v>
      </c>
      <c r="G38" s="3" t="s">
        <v>350</v>
      </c>
      <c r="H38" s="3" t="s">
        <v>340</v>
      </c>
      <c r="I38" s="3" t="s">
        <v>341</v>
      </c>
      <c r="J38" s="3" t="s">
        <v>344</v>
      </c>
      <c r="K38" s="7" t="s">
        <v>327</v>
      </c>
      <c r="L38" s="21" t="str">
        <f t="shared" si="6"/>
        <v>230 В, 5 (60) А, 1/2, модуль связи: MC.1-M-Z</v>
      </c>
      <c r="M38" s="3" t="s">
        <v>347</v>
      </c>
      <c r="N38" s="3" t="s">
        <v>347</v>
      </c>
      <c r="O38" s="27">
        <v>0</v>
      </c>
      <c r="P38" s="3"/>
      <c r="Q38" s="4"/>
      <c r="R38" s="7"/>
      <c r="S38" s="21" t="e">
        <v>#N/A</v>
      </c>
    </row>
    <row r="39" spans="1:19" ht="30" x14ac:dyDescent="0.25">
      <c r="A39" s="3" t="s">
        <v>182</v>
      </c>
      <c r="B39" s="7" t="s">
        <v>233</v>
      </c>
      <c r="C39" s="3" t="s">
        <v>118</v>
      </c>
      <c r="D39" s="3" t="s">
        <v>153</v>
      </c>
      <c r="E39" s="3" t="s">
        <v>336</v>
      </c>
      <c r="F39" s="3" t="s">
        <v>337</v>
      </c>
      <c r="G39" s="3" t="s">
        <v>350</v>
      </c>
      <c r="H39" s="3" t="s">
        <v>340</v>
      </c>
      <c r="I39" s="3" t="s">
        <v>341</v>
      </c>
      <c r="J39" s="3" t="s">
        <v>344</v>
      </c>
      <c r="K39" s="7" t="s">
        <v>328</v>
      </c>
      <c r="L39" s="21" t="str">
        <f t="shared" si="6"/>
        <v>230 В, 5 (60) А, 1/2, модуль связи: MC.1-M-M</v>
      </c>
      <c r="M39" s="3" t="s">
        <v>347</v>
      </c>
      <c r="N39" s="3" t="s">
        <v>347</v>
      </c>
      <c r="O39" s="27">
        <v>0</v>
      </c>
      <c r="P39" s="3"/>
      <c r="Q39" s="3"/>
      <c r="R39" s="7"/>
      <c r="S39" s="21" t="e">
        <v>#N/A</v>
      </c>
    </row>
    <row r="40" spans="1:19" ht="30" x14ac:dyDescent="0.25">
      <c r="A40" s="3" t="s">
        <v>183</v>
      </c>
      <c r="B40" s="7" t="s">
        <v>18</v>
      </c>
      <c r="C40" s="3" t="s">
        <v>118</v>
      </c>
      <c r="D40" s="3" t="s">
        <v>153</v>
      </c>
      <c r="E40" s="3" t="s">
        <v>336</v>
      </c>
      <c r="F40" s="3" t="s">
        <v>337</v>
      </c>
      <c r="G40" s="3" t="s">
        <v>351</v>
      </c>
      <c r="H40" s="3" t="s">
        <v>340</v>
      </c>
      <c r="I40" s="3" t="s">
        <v>341</v>
      </c>
      <c r="J40" s="3" t="s">
        <v>344</v>
      </c>
      <c r="K40" s="7" t="s">
        <v>347</v>
      </c>
      <c r="L40" s="21" t="str">
        <f t="shared" si="6"/>
        <v>230 В, 5 (80) А, 1/2, без модуля связи</v>
      </c>
      <c r="M40" s="3" t="s">
        <v>360</v>
      </c>
      <c r="N40" s="3" t="s">
        <v>347</v>
      </c>
      <c r="O40" s="27">
        <v>0</v>
      </c>
      <c r="P40" s="3"/>
      <c r="Q40" s="3" t="s">
        <v>19</v>
      </c>
      <c r="R40" s="7" t="s">
        <v>266</v>
      </c>
      <c r="S40" s="21" t="s">
        <v>355</v>
      </c>
    </row>
    <row r="41" spans="1:19" ht="30" x14ac:dyDescent="0.25">
      <c r="A41" s="3" t="s">
        <v>184</v>
      </c>
      <c r="B41" s="7" t="s">
        <v>234</v>
      </c>
      <c r="C41" s="3" t="s">
        <v>118</v>
      </c>
      <c r="D41" s="3" t="s">
        <v>153</v>
      </c>
      <c r="E41" s="3" t="s">
        <v>336</v>
      </c>
      <c r="F41" s="3" t="s">
        <v>337</v>
      </c>
      <c r="G41" s="3" t="s">
        <v>351</v>
      </c>
      <c r="H41" s="3" t="s">
        <v>340</v>
      </c>
      <c r="I41" s="3" t="s">
        <v>341</v>
      </c>
      <c r="J41" s="3" t="s">
        <v>344</v>
      </c>
      <c r="K41" s="7" t="s">
        <v>321</v>
      </c>
      <c r="L41" s="21" t="str">
        <f t="shared" si="6"/>
        <v>230 В, 5 (80) А, 1/2, модуль связи: MC.1-M-W</v>
      </c>
      <c r="M41" s="3" t="s">
        <v>347</v>
      </c>
      <c r="N41" s="3" t="s">
        <v>347</v>
      </c>
      <c r="O41" s="27">
        <v>0</v>
      </c>
      <c r="P41" s="3"/>
      <c r="Q41" s="3"/>
      <c r="R41" s="7"/>
      <c r="S41" s="21" t="e">
        <v>#N/A</v>
      </c>
    </row>
    <row r="42" spans="1:19" ht="30" x14ac:dyDescent="0.25">
      <c r="A42" s="3" t="s">
        <v>185</v>
      </c>
      <c r="B42" s="7" t="s">
        <v>235</v>
      </c>
      <c r="C42" s="3" t="s">
        <v>118</v>
      </c>
      <c r="D42" s="3" t="s">
        <v>153</v>
      </c>
      <c r="E42" s="3" t="s">
        <v>336</v>
      </c>
      <c r="F42" s="3" t="s">
        <v>337</v>
      </c>
      <c r="G42" s="3" t="s">
        <v>351</v>
      </c>
      <c r="H42" s="3" t="s">
        <v>340</v>
      </c>
      <c r="I42" s="3" t="s">
        <v>341</v>
      </c>
      <c r="J42" s="3" t="s">
        <v>344</v>
      </c>
      <c r="K42" s="7" t="s">
        <v>322</v>
      </c>
      <c r="L42" s="21" t="str">
        <f t="shared" si="6"/>
        <v>230 В, 5 (80) А, 1/2, модуль связи: MC.1-M-E</v>
      </c>
      <c r="M42" s="3" t="s">
        <v>347</v>
      </c>
      <c r="N42" s="3" t="s">
        <v>347</v>
      </c>
      <c r="O42" s="27">
        <v>0</v>
      </c>
      <c r="P42" s="3"/>
      <c r="Q42" s="3"/>
      <c r="R42" s="7"/>
      <c r="S42" s="21" t="e">
        <v>#N/A</v>
      </c>
    </row>
    <row r="43" spans="1:19" ht="30" x14ac:dyDescent="0.25">
      <c r="A43" s="3" t="s">
        <v>186</v>
      </c>
      <c r="B43" s="7" t="s">
        <v>236</v>
      </c>
      <c r="C43" s="3" t="s">
        <v>118</v>
      </c>
      <c r="D43" s="3" t="s">
        <v>153</v>
      </c>
      <c r="E43" s="3" t="s">
        <v>336</v>
      </c>
      <c r="F43" s="3" t="s">
        <v>337</v>
      </c>
      <c r="G43" s="3" t="s">
        <v>351</v>
      </c>
      <c r="H43" s="3" t="s">
        <v>340</v>
      </c>
      <c r="I43" s="3" t="s">
        <v>341</v>
      </c>
      <c r="J43" s="3" t="s">
        <v>344</v>
      </c>
      <c r="K43" s="7" t="s">
        <v>323</v>
      </c>
      <c r="L43" s="21" t="str">
        <f t="shared" si="6"/>
        <v>230 В, 5 (80) А, 1/2, модуль связи: MC.1-M-F</v>
      </c>
      <c r="M43" s="3" t="s">
        <v>347</v>
      </c>
      <c r="N43" s="3" t="s">
        <v>347</v>
      </c>
      <c r="O43" s="27">
        <v>0</v>
      </c>
      <c r="P43" s="3"/>
      <c r="Q43" s="4"/>
      <c r="R43" s="7"/>
      <c r="S43" s="21" t="e">
        <v>#N/A</v>
      </c>
    </row>
    <row r="44" spans="1:19" ht="30" x14ac:dyDescent="0.25">
      <c r="A44" s="3" t="s">
        <v>187</v>
      </c>
      <c r="B44" s="7" t="s">
        <v>237</v>
      </c>
      <c r="C44" s="3" t="s">
        <v>118</v>
      </c>
      <c r="D44" s="3" t="s">
        <v>153</v>
      </c>
      <c r="E44" s="3" t="s">
        <v>336</v>
      </c>
      <c r="F44" s="3" t="s">
        <v>337</v>
      </c>
      <c r="G44" s="3" t="s">
        <v>351</v>
      </c>
      <c r="H44" s="3" t="s">
        <v>340</v>
      </c>
      <c r="I44" s="3" t="s">
        <v>341</v>
      </c>
      <c r="J44" s="3" t="s">
        <v>344</v>
      </c>
      <c r="K44" s="7" t="s">
        <v>324</v>
      </c>
      <c r="L44" s="21" t="str">
        <f t="shared" si="6"/>
        <v>230 В, 5 (80) А, 1/2, модуль связи: MC.1-M-L</v>
      </c>
      <c r="M44" s="3" t="s">
        <v>347</v>
      </c>
      <c r="N44" s="3" t="s">
        <v>347</v>
      </c>
      <c r="O44" s="27">
        <v>0</v>
      </c>
      <c r="P44" s="3"/>
      <c r="Q44" s="3"/>
      <c r="R44" s="7"/>
      <c r="S44" s="21" t="e">
        <v>#N/A</v>
      </c>
    </row>
    <row r="45" spans="1:19" ht="30" x14ac:dyDescent="0.25">
      <c r="A45" s="3" t="s">
        <v>188</v>
      </c>
      <c r="B45" s="7" t="s">
        <v>238</v>
      </c>
      <c r="C45" s="3" t="s">
        <v>118</v>
      </c>
      <c r="D45" s="3" t="s">
        <v>153</v>
      </c>
      <c r="E45" s="3" t="s">
        <v>336</v>
      </c>
      <c r="F45" s="3" t="s">
        <v>337</v>
      </c>
      <c r="G45" s="3" t="s">
        <v>351</v>
      </c>
      <c r="H45" s="3" t="s">
        <v>340</v>
      </c>
      <c r="I45" s="3" t="s">
        <v>341</v>
      </c>
      <c r="J45" s="3" t="s">
        <v>344</v>
      </c>
      <c r="K45" s="7" t="s">
        <v>346</v>
      </c>
      <c r="L45" s="21" t="str">
        <f t="shared" si="6"/>
        <v>230 В, 5 (80) А, 1/2, модули связи: MC.1-M-G,MC.1-M-G1</v>
      </c>
      <c r="M45" s="3" t="s">
        <v>347</v>
      </c>
      <c r="N45" s="3" t="s">
        <v>361</v>
      </c>
      <c r="O45" s="27">
        <v>0</v>
      </c>
      <c r="P45" s="3"/>
      <c r="Q45" s="3" t="s">
        <v>19</v>
      </c>
      <c r="R45" s="7" t="s">
        <v>267</v>
      </c>
      <c r="S45" s="21" t="s">
        <v>290</v>
      </c>
    </row>
    <row r="46" spans="1:19" ht="30" x14ac:dyDescent="0.25">
      <c r="A46" s="3" t="s">
        <v>189</v>
      </c>
      <c r="B46" s="7" t="s">
        <v>239</v>
      </c>
      <c r="C46" s="3" t="s">
        <v>118</v>
      </c>
      <c r="D46" s="3" t="s">
        <v>153</v>
      </c>
      <c r="E46" s="3" t="s">
        <v>336</v>
      </c>
      <c r="F46" s="3" t="s">
        <v>337</v>
      </c>
      <c r="G46" s="3" t="s">
        <v>351</v>
      </c>
      <c r="H46" s="3" t="s">
        <v>340</v>
      </c>
      <c r="I46" s="3" t="s">
        <v>341</v>
      </c>
      <c r="J46" s="3" t="s">
        <v>344</v>
      </c>
      <c r="K46" s="7" t="s">
        <v>326</v>
      </c>
      <c r="L46" s="21" t="str">
        <f t="shared" si="6"/>
        <v>230 В, 5 (80) А, 1/2, модуль связи: MC.1-M-P</v>
      </c>
      <c r="M46" s="3" t="s">
        <v>347</v>
      </c>
      <c r="N46" s="3" t="s">
        <v>347</v>
      </c>
      <c r="O46" s="27">
        <v>0</v>
      </c>
      <c r="P46" s="3"/>
      <c r="Q46" s="3"/>
      <c r="R46" s="7"/>
      <c r="S46" s="21" t="e">
        <v>#N/A</v>
      </c>
    </row>
    <row r="47" spans="1:19" ht="30" x14ac:dyDescent="0.25">
      <c r="A47" s="3" t="s">
        <v>190</v>
      </c>
      <c r="B47" s="7" t="s">
        <v>240</v>
      </c>
      <c r="C47" s="3" t="s">
        <v>118</v>
      </c>
      <c r="D47" s="3" t="s">
        <v>153</v>
      </c>
      <c r="E47" s="3" t="s">
        <v>336</v>
      </c>
      <c r="F47" s="3" t="s">
        <v>337</v>
      </c>
      <c r="G47" s="3" t="s">
        <v>351</v>
      </c>
      <c r="H47" s="3" t="s">
        <v>340</v>
      </c>
      <c r="I47" s="3" t="s">
        <v>341</v>
      </c>
      <c r="J47" s="3" t="s">
        <v>344</v>
      </c>
      <c r="K47" s="7" t="s">
        <v>327</v>
      </c>
      <c r="L47" s="21" t="str">
        <f t="shared" si="6"/>
        <v>230 В, 5 (80) А, 1/2, модуль связи: MC.1-M-Z</v>
      </c>
      <c r="M47" s="3" t="s">
        <v>347</v>
      </c>
      <c r="N47" s="3" t="s">
        <v>347</v>
      </c>
      <c r="O47" s="27">
        <v>0</v>
      </c>
      <c r="P47" s="3"/>
      <c r="Q47" s="3"/>
      <c r="R47" s="7"/>
      <c r="S47" s="21" t="e">
        <v>#N/A</v>
      </c>
    </row>
    <row r="48" spans="1:19" ht="30" x14ac:dyDescent="0.25">
      <c r="A48" s="3" t="s">
        <v>191</v>
      </c>
      <c r="B48" s="7" t="s">
        <v>241</v>
      </c>
      <c r="C48" s="3" t="s">
        <v>118</v>
      </c>
      <c r="D48" s="3" t="s">
        <v>153</v>
      </c>
      <c r="E48" s="3" t="s">
        <v>336</v>
      </c>
      <c r="F48" s="3" t="s">
        <v>337</v>
      </c>
      <c r="G48" s="3" t="s">
        <v>351</v>
      </c>
      <c r="H48" s="3" t="s">
        <v>340</v>
      </c>
      <c r="I48" s="3" t="s">
        <v>341</v>
      </c>
      <c r="J48" s="3" t="s">
        <v>344</v>
      </c>
      <c r="K48" s="7" t="s">
        <v>328</v>
      </c>
      <c r="L48" s="21" t="str">
        <f t="shared" si="6"/>
        <v>230 В, 5 (80) А, 1/2, модуль связи: MC.1-M-M</v>
      </c>
      <c r="M48" s="3" t="s">
        <v>347</v>
      </c>
      <c r="N48" s="3" t="s">
        <v>347</v>
      </c>
      <c r="O48" s="27">
        <v>0</v>
      </c>
      <c r="P48" s="3"/>
      <c r="Q48" s="3"/>
      <c r="R48" s="7"/>
      <c r="S48" s="21" t="e">
        <v>#N/A</v>
      </c>
    </row>
    <row r="49" spans="1:19" ht="30" x14ac:dyDescent="0.25">
      <c r="A49" s="3" t="s">
        <v>192</v>
      </c>
      <c r="B49" s="7" t="s">
        <v>22</v>
      </c>
      <c r="C49" s="3" t="s">
        <v>118</v>
      </c>
      <c r="D49" s="3" t="s">
        <v>153</v>
      </c>
      <c r="E49" s="3" t="s">
        <v>336</v>
      </c>
      <c r="F49" s="3" t="s">
        <v>337</v>
      </c>
      <c r="G49" s="3" t="s">
        <v>351</v>
      </c>
      <c r="H49" s="3" t="s">
        <v>340</v>
      </c>
      <c r="I49" s="3" t="s">
        <v>341</v>
      </c>
      <c r="J49" s="3" t="s">
        <v>344</v>
      </c>
      <c r="K49" s="7" t="s">
        <v>356</v>
      </c>
      <c r="L49" s="21" t="str">
        <f t="shared" si="6"/>
        <v>230 В, 5 (80) А, 1/2, модуль связи: ?</v>
      </c>
      <c r="M49" s="3" t="s">
        <v>347</v>
      </c>
      <c r="N49" s="3" t="s">
        <v>347</v>
      </c>
      <c r="O49" s="27">
        <v>0</v>
      </c>
      <c r="P49" s="3"/>
      <c r="Q49" s="3" t="s">
        <v>23</v>
      </c>
      <c r="R49" s="7" t="s">
        <v>268</v>
      </c>
      <c r="S49" s="21" t="e">
        <v>#N/A</v>
      </c>
    </row>
    <row r="50" spans="1:19" ht="30" x14ac:dyDescent="0.25">
      <c r="A50" s="3" t="s">
        <v>193</v>
      </c>
      <c r="B50" s="7" t="s">
        <v>26</v>
      </c>
      <c r="C50" s="3" t="s">
        <v>118</v>
      </c>
      <c r="D50" s="3" t="s">
        <v>153</v>
      </c>
      <c r="E50" s="3" t="s">
        <v>336</v>
      </c>
      <c r="F50" s="3" t="s">
        <v>337</v>
      </c>
      <c r="G50" s="3" t="s">
        <v>351</v>
      </c>
      <c r="H50" s="3" t="s">
        <v>340</v>
      </c>
      <c r="I50" s="3" t="s">
        <v>341</v>
      </c>
      <c r="J50" s="3" t="s">
        <v>344</v>
      </c>
      <c r="K50" s="7" t="s">
        <v>356</v>
      </c>
      <c r="L50" s="21" t="str">
        <f t="shared" si="6"/>
        <v>230 В, 5 (80) А, 1/2, модуль связи: ?</v>
      </c>
      <c r="M50" s="3" t="s">
        <v>347</v>
      </c>
      <c r="N50" s="3" t="s">
        <v>347</v>
      </c>
      <c r="O50" s="27">
        <v>0</v>
      </c>
      <c r="P50" s="3"/>
      <c r="Q50" s="3"/>
      <c r="R50" s="7"/>
      <c r="S50" s="21" t="e">
        <v>#N/A</v>
      </c>
    </row>
    <row r="51" spans="1:19" ht="30" x14ac:dyDescent="0.25">
      <c r="A51" s="3" t="s">
        <v>194</v>
      </c>
      <c r="B51" s="7" t="s">
        <v>28</v>
      </c>
      <c r="C51" s="3" t="s">
        <v>118</v>
      </c>
      <c r="D51" s="3" t="s">
        <v>153</v>
      </c>
      <c r="E51" s="3" t="s">
        <v>336</v>
      </c>
      <c r="F51" s="3" t="s">
        <v>337</v>
      </c>
      <c r="G51" s="3" t="s">
        <v>351</v>
      </c>
      <c r="H51" s="3" t="s">
        <v>340</v>
      </c>
      <c r="I51" s="3" t="s">
        <v>341</v>
      </c>
      <c r="J51" s="3" t="s">
        <v>344</v>
      </c>
      <c r="K51" s="7" t="s">
        <v>356</v>
      </c>
      <c r="L51" s="21" t="str">
        <f t="shared" si="6"/>
        <v>230 В, 5 (80) А, 1/2, модуль связи: ?</v>
      </c>
      <c r="M51" s="3" t="s">
        <v>347</v>
      </c>
      <c r="N51" s="3" t="s">
        <v>347</v>
      </c>
      <c r="O51" s="27">
        <v>0</v>
      </c>
      <c r="P51" s="3"/>
      <c r="Q51" s="4"/>
      <c r="R51" s="7"/>
      <c r="S51" s="21" t="e">
        <v>#N/A</v>
      </c>
    </row>
    <row r="52" spans="1:19" ht="30" x14ac:dyDescent="0.25">
      <c r="A52" s="3" t="s">
        <v>195</v>
      </c>
      <c r="B52" s="7" t="s">
        <v>30</v>
      </c>
      <c r="C52" s="3" t="s">
        <v>118</v>
      </c>
      <c r="D52" s="3" t="s">
        <v>153</v>
      </c>
      <c r="E52" s="3" t="s">
        <v>336</v>
      </c>
      <c r="F52" s="3" t="s">
        <v>337</v>
      </c>
      <c r="G52" s="3" t="s">
        <v>351</v>
      </c>
      <c r="H52" s="3" t="s">
        <v>340</v>
      </c>
      <c r="I52" s="3" t="s">
        <v>341</v>
      </c>
      <c r="J52" s="3" t="s">
        <v>344</v>
      </c>
      <c r="K52" s="7" t="s">
        <v>356</v>
      </c>
      <c r="L52" s="21" t="str">
        <f t="shared" si="6"/>
        <v>230 В, 5 (80) А, 1/2, модуль связи: ?</v>
      </c>
      <c r="M52" s="3" t="s">
        <v>347</v>
      </c>
      <c r="N52" s="3" t="s">
        <v>347</v>
      </c>
      <c r="O52" s="27">
        <v>0</v>
      </c>
      <c r="P52" s="3"/>
      <c r="Q52" s="3"/>
      <c r="R52" s="7"/>
      <c r="S52" s="21" t="e">
        <v>#N/A</v>
      </c>
    </row>
    <row r="53" spans="1:19" ht="30" x14ac:dyDescent="0.25">
      <c r="A53" s="3" t="s">
        <v>196</v>
      </c>
      <c r="B53" s="7" t="s">
        <v>32</v>
      </c>
      <c r="C53" s="3" t="s">
        <v>118</v>
      </c>
      <c r="D53" s="3" t="s">
        <v>153</v>
      </c>
      <c r="E53" s="3" t="s">
        <v>336</v>
      </c>
      <c r="F53" s="3" t="s">
        <v>337</v>
      </c>
      <c r="G53" s="3" t="s">
        <v>351</v>
      </c>
      <c r="H53" s="3" t="s">
        <v>340</v>
      </c>
      <c r="I53" s="3" t="s">
        <v>341</v>
      </c>
      <c r="J53" s="3" t="s">
        <v>344</v>
      </c>
      <c r="K53" s="7" t="s">
        <v>356</v>
      </c>
      <c r="L53" s="21" t="str">
        <f t="shared" si="6"/>
        <v>230 В, 5 (80) А, 1/2, модуль связи: ?</v>
      </c>
      <c r="M53" s="3" t="s">
        <v>347</v>
      </c>
      <c r="N53" s="3" t="s">
        <v>347</v>
      </c>
      <c r="O53" s="27">
        <v>0</v>
      </c>
      <c r="P53" s="3"/>
      <c r="Q53" s="3"/>
      <c r="R53" s="7"/>
      <c r="S53" s="21" t="e">
        <v>#N/A</v>
      </c>
    </row>
    <row r="54" spans="1:19" ht="30" x14ac:dyDescent="0.25">
      <c r="A54" s="3" t="s">
        <v>197</v>
      </c>
      <c r="B54" s="7" t="s">
        <v>34</v>
      </c>
      <c r="C54" s="3" t="s">
        <v>118</v>
      </c>
      <c r="D54" s="3" t="s">
        <v>153</v>
      </c>
      <c r="E54" s="3" t="s">
        <v>336</v>
      </c>
      <c r="F54" s="3" t="s">
        <v>337</v>
      </c>
      <c r="G54" s="3" t="s">
        <v>351</v>
      </c>
      <c r="H54" s="3" t="s">
        <v>340</v>
      </c>
      <c r="I54" s="3" t="s">
        <v>341</v>
      </c>
      <c r="J54" s="3" t="s">
        <v>344</v>
      </c>
      <c r="K54" s="7" t="s">
        <v>91</v>
      </c>
      <c r="L54" s="21" t="str">
        <f t="shared" si="6"/>
        <v>230 В, 5 (80) А, 1/2, модуль связи: MC.1-S-G</v>
      </c>
      <c r="M54" s="3" t="s">
        <v>347</v>
      </c>
      <c r="N54" s="3" t="s">
        <v>347</v>
      </c>
      <c r="O54" s="27">
        <v>0</v>
      </c>
      <c r="P54" s="3"/>
      <c r="Q54" s="3" t="s">
        <v>23</v>
      </c>
      <c r="R54" s="7" t="s">
        <v>269</v>
      </c>
      <c r="S54" s="21" t="e">
        <v>#N/A</v>
      </c>
    </row>
    <row r="55" spans="1:19" ht="30" x14ac:dyDescent="0.25">
      <c r="A55" s="3" t="s">
        <v>198</v>
      </c>
      <c r="B55" s="7" t="s">
        <v>36</v>
      </c>
      <c r="C55" s="3" t="s">
        <v>118</v>
      </c>
      <c r="D55" s="3" t="s">
        <v>153</v>
      </c>
      <c r="E55" s="3" t="s">
        <v>336</v>
      </c>
      <c r="F55" s="3" t="s">
        <v>337</v>
      </c>
      <c r="G55" s="3" t="s">
        <v>351</v>
      </c>
      <c r="H55" s="3" t="s">
        <v>340</v>
      </c>
      <c r="I55" s="3" t="s">
        <v>341</v>
      </c>
      <c r="J55" s="3" t="s">
        <v>344</v>
      </c>
      <c r="K55" s="7" t="s">
        <v>356</v>
      </c>
      <c r="L55" s="21" t="str">
        <f t="shared" si="6"/>
        <v>230 В, 5 (80) А, 1/2, модуль связи: ?</v>
      </c>
      <c r="M55" s="3" t="s">
        <v>347</v>
      </c>
      <c r="N55" s="3" t="s">
        <v>347</v>
      </c>
      <c r="O55" s="27">
        <v>0</v>
      </c>
      <c r="P55" s="3"/>
      <c r="Q55" s="4"/>
      <c r="R55" s="7"/>
      <c r="S55" s="21" t="e">
        <v>#N/A</v>
      </c>
    </row>
    <row r="56" spans="1:19" ht="30" x14ac:dyDescent="0.25">
      <c r="A56" s="3" t="s">
        <v>199</v>
      </c>
      <c r="B56" s="7" t="s">
        <v>240</v>
      </c>
      <c r="C56" s="3" t="s">
        <v>118</v>
      </c>
      <c r="D56" s="3" t="s">
        <v>153</v>
      </c>
      <c r="E56" s="3" t="s">
        <v>336</v>
      </c>
      <c r="F56" s="3" t="s">
        <v>337</v>
      </c>
      <c r="G56" s="3" t="s">
        <v>351</v>
      </c>
      <c r="H56" s="3" t="s">
        <v>340</v>
      </c>
      <c r="I56" s="3" t="s">
        <v>341</v>
      </c>
      <c r="J56" s="3" t="s">
        <v>344</v>
      </c>
      <c r="K56" s="7" t="s">
        <v>327</v>
      </c>
      <c r="L56" s="21" t="str">
        <f t="shared" si="6"/>
        <v>230 В, 5 (80) А, 1/2, модуль связи: MC.1-M-Z</v>
      </c>
      <c r="M56" s="3" t="s">
        <v>347</v>
      </c>
      <c r="N56" s="3" t="s">
        <v>347</v>
      </c>
      <c r="O56" s="27">
        <v>0</v>
      </c>
      <c r="P56" s="3"/>
      <c r="Q56" s="3"/>
      <c r="R56" s="7"/>
      <c r="S56" s="21" t="e">
        <v>#N/A</v>
      </c>
    </row>
    <row r="57" spans="1:19" ht="30" x14ac:dyDescent="0.25">
      <c r="A57" s="3" t="s">
        <v>200</v>
      </c>
      <c r="B57" s="7" t="s">
        <v>241</v>
      </c>
      <c r="C57" s="3" t="s">
        <v>118</v>
      </c>
      <c r="D57" s="3" t="s">
        <v>153</v>
      </c>
      <c r="E57" s="3" t="s">
        <v>336</v>
      </c>
      <c r="F57" s="3" t="s">
        <v>337</v>
      </c>
      <c r="G57" s="3" t="s">
        <v>351</v>
      </c>
      <c r="H57" s="3" t="s">
        <v>340</v>
      </c>
      <c r="I57" s="3" t="s">
        <v>341</v>
      </c>
      <c r="J57" s="3" t="s">
        <v>344</v>
      </c>
      <c r="K57" s="7" t="s">
        <v>328</v>
      </c>
      <c r="L57" s="21" t="str">
        <f t="shared" si="6"/>
        <v>230 В, 5 (80) А, 1/2, модуль связи: MC.1-M-M</v>
      </c>
      <c r="M57" s="3" t="s">
        <v>347</v>
      </c>
      <c r="N57" s="3" t="s">
        <v>347</v>
      </c>
      <c r="O57" s="27">
        <v>0</v>
      </c>
      <c r="P57" s="3"/>
      <c r="Q57" s="5"/>
      <c r="R57" s="7"/>
      <c r="S57" s="21" t="e">
        <v>#N/A</v>
      </c>
    </row>
    <row r="58" spans="1:19" ht="30" x14ac:dyDescent="0.25">
      <c r="A58" s="3" t="s">
        <v>37</v>
      </c>
      <c r="B58" s="7" t="s">
        <v>136</v>
      </c>
      <c r="C58" s="3" t="s">
        <v>118</v>
      </c>
      <c r="D58" s="3" t="s">
        <v>154</v>
      </c>
      <c r="E58" s="20" t="s">
        <v>352</v>
      </c>
      <c r="F58" s="3" t="s">
        <v>337</v>
      </c>
      <c r="G58" s="3" t="s">
        <v>339</v>
      </c>
      <c r="H58" s="3" t="s">
        <v>340</v>
      </c>
      <c r="I58" s="3" t="s">
        <v>341</v>
      </c>
      <c r="J58" s="3" t="s">
        <v>344</v>
      </c>
      <c r="K58" s="7" t="s">
        <v>347</v>
      </c>
      <c r="L58" s="21" t="str">
        <f t="shared" si="6"/>
        <v>3х230/400 В, 5 (100) А, 1/2, без модуля связи</v>
      </c>
      <c r="M58" s="3" t="s">
        <v>363</v>
      </c>
      <c r="N58" s="3" t="s">
        <v>347</v>
      </c>
      <c r="O58" s="27">
        <v>0</v>
      </c>
      <c r="P58" s="3"/>
      <c r="Q58" s="5" t="s">
        <v>19</v>
      </c>
      <c r="R58" s="7" t="s">
        <v>270</v>
      </c>
      <c r="S58" s="21" t="s">
        <v>300</v>
      </c>
    </row>
    <row r="59" spans="1:19" ht="30" x14ac:dyDescent="0.25">
      <c r="A59" s="3" t="s">
        <v>39</v>
      </c>
      <c r="B59" s="7" t="s">
        <v>316</v>
      </c>
      <c r="C59" s="3" t="s">
        <v>118</v>
      </c>
      <c r="D59" s="3" t="s">
        <v>154</v>
      </c>
      <c r="E59" s="20" t="s">
        <v>352</v>
      </c>
      <c r="F59" s="3" t="s">
        <v>337</v>
      </c>
      <c r="G59" s="3" t="s">
        <v>339</v>
      </c>
      <c r="H59" s="3" t="s">
        <v>340</v>
      </c>
      <c r="I59" s="3" t="s">
        <v>341</v>
      </c>
      <c r="J59" s="3" t="s">
        <v>344</v>
      </c>
      <c r="K59" s="7" t="s">
        <v>69</v>
      </c>
      <c r="L59" s="21" t="str">
        <f t="shared" si="6"/>
        <v>3х230/400 В, 5 (100) А, 1/2, модуль связи: MC.3-P-W</v>
      </c>
      <c r="M59" s="3" t="s">
        <v>347</v>
      </c>
      <c r="N59" s="3" t="s">
        <v>347</v>
      </c>
      <c r="O59" s="27">
        <v>0</v>
      </c>
      <c r="P59" s="3"/>
      <c r="Q59" s="4"/>
      <c r="R59" s="7"/>
      <c r="S59" s="21" t="e">
        <v>#N/A</v>
      </c>
    </row>
    <row r="60" spans="1:19" ht="30" x14ac:dyDescent="0.25">
      <c r="A60" s="3" t="s">
        <v>40</v>
      </c>
      <c r="B60" s="7" t="s">
        <v>242</v>
      </c>
      <c r="C60" s="3" t="s">
        <v>118</v>
      </c>
      <c r="D60" s="3" t="s">
        <v>154</v>
      </c>
      <c r="E60" s="20" t="s">
        <v>352</v>
      </c>
      <c r="F60" s="3" t="s">
        <v>337</v>
      </c>
      <c r="G60" s="3" t="s">
        <v>339</v>
      </c>
      <c r="H60" s="3" t="s">
        <v>340</v>
      </c>
      <c r="I60" s="3" t="s">
        <v>341</v>
      </c>
      <c r="J60" s="3" t="s">
        <v>344</v>
      </c>
      <c r="K60" s="7" t="s">
        <v>71</v>
      </c>
      <c r="L60" s="21" t="str">
        <f t="shared" si="6"/>
        <v>3х230/400 В, 5 (100) А, 1/2, модуль связи: MC.3-P-E</v>
      </c>
      <c r="M60" s="3" t="s">
        <v>347</v>
      </c>
      <c r="N60" s="3" t="s">
        <v>347</v>
      </c>
      <c r="O60" s="27">
        <v>0</v>
      </c>
      <c r="P60" s="3"/>
      <c r="Q60" s="3"/>
      <c r="R60" s="7"/>
      <c r="S60" s="21" t="e">
        <v>#N/A</v>
      </c>
    </row>
    <row r="61" spans="1:19" ht="30" x14ac:dyDescent="0.25">
      <c r="A61" s="3" t="s">
        <v>41</v>
      </c>
      <c r="B61" s="7" t="s">
        <v>243</v>
      </c>
      <c r="C61" s="3" t="s">
        <v>118</v>
      </c>
      <c r="D61" s="3" t="s">
        <v>154</v>
      </c>
      <c r="E61" s="20" t="s">
        <v>352</v>
      </c>
      <c r="F61" s="3" t="s">
        <v>337</v>
      </c>
      <c r="G61" s="3" t="s">
        <v>339</v>
      </c>
      <c r="H61" s="3" t="s">
        <v>340</v>
      </c>
      <c r="I61" s="3" t="s">
        <v>341</v>
      </c>
      <c r="J61" s="3" t="s">
        <v>344</v>
      </c>
      <c r="K61" s="7" t="s">
        <v>73</v>
      </c>
      <c r="L61" s="21" t="str">
        <f t="shared" si="6"/>
        <v>3х230/400 В, 5 (100) А, 1/2, модуль связи: MC.3-P-F</v>
      </c>
      <c r="M61" s="3" t="s">
        <v>347</v>
      </c>
      <c r="N61" s="3" t="s">
        <v>347</v>
      </c>
      <c r="O61" s="27">
        <v>0</v>
      </c>
      <c r="P61" s="3"/>
      <c r="Q61" s="3"/>
      <c r="R61" s="7"/>
      <c r="S61" s="21" t="e">
        <v>#N/A</v>
      </c>
    </row>
    <row r="62" spans="1:19" ht="30" x14ac:dyDescent="0.25">
      <c r="A62" s="3" t="s">
        <v>42</v>
      </c>
      <c r="B62" s="7" t="s">
        <v>244</v>
      </c>
      <c r="C62" s="3" t="s">
        <v>118</v>
      </c>
      <c r="D62" s="3" t="s">
        <v>154</v>
      </c>
      <c r="E62" s="20" t="s">
        <v>352</v>
      </c>
      <c r="F62" s="3" t="s">
        <v>337</v>
      </c>
      <c r="G62" s="3" t="s">
        <v>339</v>
      </c>
      <c r="H62" s="3" t="s">
        <v>340</v>
      </c>
      <c r="I62" s="3" t="s">
        <v>341</v>
      </c>
      <c r="J62" s="3" t="s">
        <v>344</v>
      </c>
      <c r="K62" s="7" t="s">
        <v>75</v>
      </c>
      <c r="L62" s="21" t="str">
        <f t="shared" si="6"/>
        <v>3х230/400 В, 5 (100) А, 1/2, модуль связи: MC.3-P-L</v>
      </c>
      <c r="M62" s="3" t="s">
        <v>347</v>
      </c>
      <c r="N62" s="3" t="s">
        <v>347</v>
      </c>
      <c r="O62" s="27">
        <v>0</v>
      </c>
      <c r="P62" s="3"/>
      <c r="Q62" s="3"/>
      <c r="R62" s="7"/>
      <c r="S62" s="21" t="e">
        <v>#N/A</v>
      </c>
    </row>
    <row r="63" spans="1:19" ht="46.5" customHeight="1" x14ac:dyDescent="0.25">
      <c r="A63" s="3" t="s">
        <v>43</v>
      </c>
      <c r="B63" s="7" t="s">
        <v>245</v>
      </c>
      <c r="C63" s="3" t="s">
        <v>118</v>
      </c>
      <c r="D63" s="3" t="s">
        <v>154</v>
      </c>
      <c r="E63" s="20" t="s">
        <v>352</v>
      </c>
      <c r="F63" s="3" t="s">
        <v>337</v>
      </c>
      <c r="G63" s="3" t="s">
        <v>339</v>
      </c>
      <c r="H63" s="3" t="s">
        <v>340</v>
      </c>
      <c r="I63" s="3" t="s">
        <v>341</v>
      </c>
      <c r="J63" s="3" t="s">
        <v>344</v>
      </c>
      <c r="K63" s="7" t="s">
        <v>348</v>
      </c>
      <c r="L63" s="21" t="str">
        <f t="shared" si="6"/>
        <v>3х230/400 В, 5 (100) А, 1/2, модули связи: MC.3-P-G,MC.3-P-G1</v>
      </c>
      <c r="M63" s="3" t="s">
        <v>347</v>
      </c>
      <c r="N63" s="3" t="s">
        <v>362</v>
      </c>
      <c r="O63" s="27">
        <v>0</v>
      </c>
      <c r="P63" s="3"/>
      <c r="Q63" s="3" t="s">
        <v>19</v>
      </c>
      <c r="R63" s="7" t="s">
        <v>271</v>
      </c>
      <c r="S63" s="21" t="s">
        <v>298</v>
      </c>
    </row>
    <row r="64" spans="1:19" ht="30" x14ac:dyDescent="0.25">
      <c r="A64" s="3" t="s">
        <v>44</v>
      </c>
      <c r="B64" s="7" t="s">
        <v>246</v>
      </c>
      <c r="C64" s="3" t="s">
        <v>118</v>
      </c>
      <c r="D64" s="3" t="s">
        <v>154</v>
      </c>
      <c r="E64" s="20" t="s">
        <v>352</v>
      </c>
      <c r="F64" s="3" t="s">
        <v>337</v>
      </c>
      <c r="G64" s="3" t="s">
        <v>339</v>
      </c>
      <c r="H64" s="3" t="s">
        <v>340</v>
      </c>
      <c r="I64" s="3" t="s">
        <v>341</v>
      </c>
      <c r="J64" s="3" t="s">
        <v>344</v>
      </c>
      <c r="K64" s="7" t="s">
        <v>80</v>
      </c>
      <c r="L64" s="21" t="str">
        <f t="shared" si="6"/>
        <v>3х230/400 В, 5 (100) А, 1/2, модуль связи: MC.3-P-P</v>
      </c>
      <c r="M64" s="3" t="s">
        <v>347</v>
      </c>
      <c r="N64" s="3" t="s">
        <v>347</v>
      </c>
      <c r="O64" s="27">
        <v>0</v>
      </c>
      <c r="P64" s="3"/>
      <c r="Q64" s="3"/>
      <c r="R64" s="7"/>
      <c r="S64" s="21" t="e">
        <v>#N/A</v>
      </c>
    </row>
    <row r="65" spans="1:19" ht="30" x14ac:dyDescent="0.25">
      <c r="A65" s="3" t="s">
        <v>45</v>
      </c>
      <c r="B65" s="7" t="s">
        <v>247</v>
      </c>
      <c r="C65" s="3" t="s">
        <v>118</v>
      </c>
      <c r="D65" s="3" t="s">
        <v>154</v>
      </c>
      <c r="E65" s="20" t="s">
        <v>352</v>
      </c>
      <c r="F65" s="3" t="s">
        <v>337</v>
      </c>
      <c r="G65" s="3" t="s">
        <v>339</v>
      </c>
      <c r="H65" s="3" t="s">
        <v>340</v>
      </c>
      <c r="I65" s="3" t="s">
        <v>341</v>
      </c>
      <c r="J65" s="3" t="s">
        <v>344</v>
      </c>
      <c r="K65" s="7" t="s">
        <v>82</v>
      </c>
      <c r="L65" s="21" t="str">
        <f t="shared" si="6"/>
        <v>3х230/400 В, 5 (100) А, 1/2, модуль связи: MC.3-P-Z</v>
      </c>
      <c r="M65" s="3" t="s">
        <v>347</v>
      </c>
      <c r="N65" s="3" t="s">
        <v>347</v>
      </c>
      <c r="O65" s="27">
        <v>0</v>
      </c>
      <c r="P65" s="3"/>
      <c r="Q65" s="6"/>
      <c r="R65" s="7"/>
      <c r="S65" s="21" t="e">
        <v>#N/A</v>
      </c>
    </row>
    <row r="66" spans="1:19" ht="30" x14ac:dyDescent="0.25">
      <c r="A66" s="3" t="s">
        <v>46</v>
      </c>
      <c r="B66" s="7" t="s">
        <v>248</v>
      </c>
      <c r="C66" s="3" t="s">
        <v>118</v>
      </c>
      <c r="D66" s="3" t="s">
        <v>154</v>
      </c>
      <c r="E66" s="20" t="s">
        <v>352</v>
      </c>
      <c r="F66" s="3" t="s">
        <v>337</v>
      </c>
      <c r="G66" s="3" t="s">
        <v>339</v>
      </c>
      <c r="H66" s="3" t="s">
        <v>340</v>
      </c>
      <c r="I66" s="3" t="s">
        <v>341</v>
      </c>
      <c r="J66" s="3" t="s">
        <v>344</v>
      </c>
      <c r="K66" s="7" t="s">
        <v>84</v>
      </c>
      <c r="L66" s="21" t="str">
        <f t="shared" si="6"/>
        <v>3х230/400 В, 5 (100) А, 1/2, модуль связи: MC.3-P-M</v>
      </c>
      <c r="M66" s="3" t="s">
        <v>347</v>
      </c>
      <c r="N66" s="3" t="s">
        <v>347</v>
      </c>
      <c r="O66" s="27">
        <v>0</v>
      </c>
      <c r="P66" s="3"/>
      <c r="Q66" s="3"/>
      <c r="R66" s="7"/>
      <c r="S66" s="21" t="e">
        <v>#N/A</v>
      </c>
    </row>
    <row r="67" spans="1:19" ht="30" x14ac:dyDescent="0.25">
      <c r="A67" s="3" t="s">
        <v>47</v>
      </c>
      <c r="B67" s="7" t="s">
        <v>122</v>
      </c>
      <c r="C67" s="3" t="s">
        <v>118</v>
      </c>
      <c r="D67" s="3" t="s">
        <v>154</v>
      </c>
      <c r="E67" s="20" t="s">
        <v>352</v>
      </c>
      <c r="F67" s="3" t="s">
        <v>337</v>
      </c>
      <c r="G67" s="3" t="s">
        <v>339</v>
      </c>
      <c r="H67" s="3" t="s">
        <v>340</v>
      </c>
      <c r="I67" s="3" t="s">
        <v>341</v>
      </c>
      <c r="J67" s="3" t="s">
        <v>344</v>
      </c>
      <c r="K67" s="7" t="s">
        <v>356</v>
      </c>
      <c r="L67" s="21" t="str">
        <f t="shared" si="6"/>
        <v>3х230/400 В, 5 (100) А, 1/2, модуль связи: ?</v>
      </c>
      <c r="M67" s="3" t="s">
        <v>347</v>
      </c>
      <c r="N67" s="3" t="s">
        <v>347</v>
      </c>
      <c r="O67" s="27">
        <v>0</v>
      </c>
      <c r="P67" s="3"/>
      <c r="Q67" s="3" t="s">
        <v>23</v>
      </c>
      <c r="R67" s="7" t="s">
        <v>272</v>
      </c>
      <c r="S67" s="21" t="e">
        <v>#N/A</v>
      </c>
    </row>
    <row r="68" spans="1:19" ht="30" x14ac:dyDescent="0.25">
      <c r="A68" s="3" t="s">
        <v>48</v>
      </c>
      <c r="B68" s="7" t="s">
        <v>123</v>
      </c>
      <c r="C68" s="3" t="s">
        <v>118</v>
      </c>
      <c r="D68" s="3" t="s">
        <v>154</v>
      </c>
      <c r="E68" s="20" t="s">
        <v>352</v>
      </c>
      <c r="F68" s="3" t="s">
        <v>337</v>
      </c>
      <c r="G68" s="3" t="s">
        <v>339</v>
      </c>
      <c r="H68" s="3" t="s">
        <v>340</v>
      </c>
      <c r="I68" s="3" t="s">
        <v>341</v>
      </c>
      <c r="J68" s="3" t="s">
        <v>344</v>
      </c>
      <c r="K68" s="7" t="s">
        <v>356</v>
      </c>
      <c r="L68" s="21" t="str">
        <f t="shared" si="6"/>
        <v>3х230/400 В, 5 (100) А, 1/2, модуль связи: ?</v>
      </c>
      <c r="M68" s="3" t="s">
        <v>347</v>
      </c>
      <c r="N68" s="3" t="s">
        <v>347</v>
      </c>
      <c r="O68" s="27">
        <v>0</v>
      </c>
      <c r="P68" s="3"/>
      <c r="Q68" s="3"/>
      <c r="R68" s="7"/>
      <c r="S68" s="21" t="e">
        <v>#N/A</v>
      </c>
    </row>
    <row r="69" spans="1:19" ht="30" x14ac:dyDescent="0.25">
      <c r="A69" s="3" t="s">
        <v>49</v>
      </c>
      <c r="B69" s="7" t="s">
        <v>124</v>
      </c>
      <c r="C69" s="3" t="s">
        <v>118</v>
      </c>
      <c r="D69" s="3" t="s">
        <v>154</v>
      </c>
      <c r="E69" s="20" t="s">
        <v>352</v>
      </c>
      <c r="F69" s="3" t="s">
        <v>337</v>
      </c>
      <c r="G69" s="3" t="s">
        <v>339</v>
      </c>
      <c r="H69" s="3" t="s">
        <v>340</v>
      </c>
      <c r="I69" s="3" t="s">
        <v>341</v>
      </c>
      <c r="J69" s="3" t="s">
        <v>344</v>
      </c>
      <c r="K69" s="7" t="s">
        <v>356</v>
      </c>
      <c r="L69" s="21" t="str">
        <f t="shared" si="6"/>
        <v>3х230/400 В, 5 (100) А, 1/2, модуль связи: ?</v>
      </c>
      <c r="M69" s="3" t="s">
        <v>347</v>
      </c>
      <c r="N69" s="3" t="s">
        <v>347</v>
      </c>
      <c r="O69" s="27">
        <v>0</v>
      </c>
      <c r="P69" s="3"/>
      <c r="Q69" s="3"/>
      <c r="R69" s="7"/>
      <c r="S69" s="21" t="e">
        <v>#N/A</v>
      </c>
    </row>
    <row r="70" spans="1:19" ht="30" x14ac:dyDescent="0.25">
      <c r="A70" s="3" t="s">
        <v>50</v>
      </c>
      <c r="B70" s="7" t="s">
        <v>125</v>
      </c>
      <c r="C70" s="3" t="s">
        <v>118</v>
      </c>
      <c r="D70" s="3" t="s">
        <v>154</v>
      </c>
      <c r="E70" s="20" t="s">
        <v>352</v>
      </c>
      <c r="F70" s="3" t="s">
        <v>337</v>
      </c>
      <c r="G70" s="3" t="s">
        <v>339</v>
      </c>
      <c r="H70" s="3" t="s">
        <v>340</v>
      </c>
      <c r="I70" s="3" t="s">
        <v>341</v>
      </c>
      <c r="J70" s="3" t="s">
        <v>344</v>
      </c>
      <c r="K70" s="7" t="s">
        <v>356</v>
      </c>
      <c r="L70" s="21" t="str">
        <f t="shared" si="6"/>
        <v>3х230/400 В, 5 (100) А, 1/2, модуль связи: ?</v>
      </c>
      <c r="M70" s="3" t="s">
        <v>347</v>
      </c>
      <c r="N70" s="3" t="s">
        <v>347</v>
      </c>
      <c r="O70" s="27">
        <v>0</v>
      </c>
      <c r="P70" s="3"/>
      <c r="Q70" s="3"/>
      <c r="R70" s="7"/>
      <c r="S70" s="21" t="e">
        <v>#N/A</v>
      </c>
    </row>
    <row r="71" spans="1:19" ht="30" x14ac:dyDescent="0.25">
      <c r="A71" s="3" t="s">
        <v>51</v>
      </c>
      <c r="B71" s="7" t="s">
        <v>126</v>
      </c>
      <c r="C71" s="3" t="s">
        <v>118</v>
      </c>
      <c r="D71" s="3" t="s">
        <v>154</v>
      </c>
      <c r="E71" s="20" t="s">
        <v>352</v>
      </c>
      <c r="F71" s="3" t="s">
        <v>337</v>
      </c>
      <c r="G71" s="3" t="s">
        <v>339</v>
      </c>
      <c r="H71" s="3" t="s">
        <v>340</v>
      </c>
      <c r="I71" s="3" t="s">
        <v>341</v>
      </c>
      <c r="J71" s="3" t="s">
        <v>344</v>
      </c>
      <c r="K71" s="7" t="s">
        <v>356</v>
      </c>
      <c r="L71" s="21" t="str">
        <f t="shared" si="6"/>
        <v>3х230/400 В, 5 (100) А, 1/2, модуль связи: ?</v>
      </c>
      <c r="M71" s="3" t="s">
        <v>347</v>
      </c>
      <c r="N71" s="3" t="s">
        <v>347</v>
      </c>
      <c r="O71" s="27">
        <v>0</v>
      </c>
      <c r="P71" s="3"/>
      <c r="Q71" s="3"/>
      <c r="R71" s="7"/>
      <c r="S71" s="21" t="e">
        <v>#N/A</v>
      </c>
    </row>
    <row r="72" spans="1:19" ht="30" x14ac:dyDescent="0.25">
      <c r="A72" s="3" t="s">
        <v>52</v>
      </c>
      <c r="B72" s="7" t="s">
        <v>127</v>
      </c>
      <c r="C72" s="3" t="s">
        <v>118</v>
      </c>
      <c r="D72" s="3" t="s">
        <v>154</v>
      </c>
      <c r="E72" s="20" t="s">
        <v>352</v>
      </c>
      <c r="F72" s="3" t="s">
        <v>337</v>
      </c>
      <c r="G72" s="3" t="s">
        <v>339</v>
      </c>
      <c r="H72" s="3" t="s">
        <v>340</v>
      </c>
      <c r="I72" s="3" t="s">
        <v>341</v>
      </c>
      <c r="J72" s="3" t="s">
        <v>344</v>
      </c>
      <c r="K72" s="7" t="s">
        <v>94</v>
      </c>
      <c r="L72" s="21" t="str">
        <f t="shared" si="6"/>
        <v>3х230/400 В, 5 (100) А, 1/2, модуль связи: MC.3-S-G</v>
      </c>
      <c r="M72" s="3" t="s">
        <v>347</v>
      </c>
      <c r="N72" s="3" t="s">
        <v>347</v>
      </c>
      <c r="O72" s="27">
        <v>0</v>
      </c>
      <c r="P72" s="3"/>
      <c r="Q72" s="3" t="s">
        <v>23</v>
      </c>
      <c r="R72" s="7" t="s">
        <v>273</v>
      </c>
      <c r="S72" s="21" t="e">
        <v>#N/A</v>
      </c>
    </row>
    <row r="73" spans="1:19" ht="30" x14ac:dyDescent="0.25">
      <c r="A73" s="3" t="s">
        <v>201</v>
      </c>
      <c r="B73" s="7" t="s">
        <v>128</v>
      </c>
      <c r="C73" s="3" t="s">
        <v>118</v>
      </c>
      <c r="D73" s="3" t="s">
        <v>154</v>
      </c>
      <c r="E73" s="20" t="s">
        <v>352</v>
      </c>
      <c r="F73" s="3" t="s">
        <v>337</v>
      </c>
      <c r="G73" s="3" t="s">
        <v>339</v>
      </c>
      <c r="H73" s="3" t="s">
        <v>340</v>
      </c>
      <c r="I73" s="3" t="s">
        <v>341</v>
      </c>
      <c r="J73" s="3" t="s">
        <v>344</v>
      </c>
      <c r="K73" s="7" t="s">
        <v>356</v>
      </c>
      <c r="L73" s="21" t="str">
        <f t="shared" si="6"/>
        <v>3х230/400 В, 5 (100) А, 1/2, модуль связи: ?</v>
      </c>
      <c r="M73" s="3" t="s">
        <v>347</v>
      </c>
      <c r="N73" s="3" t="s">
        <v>347</v>
      </c>
      <c r="O73" s="27">
        <v>0</v>
      </c>
      <c r="P73" s="3"/>
      <c r="Q73" s="3"/>
      <c r="R73" s="7"/>
      <c r="S73" s="21" t="e">
        <v>#N/A</v>
      </c>
    </row>
    <row r="74" spans="1:19" ht="30" x14ac:dyDescent="0.25">
      <c r="A74" s="3" t="s">
        <v>202</v>
      </c>
      <c r="B74" s="7" t="s">
        <v>249</v>
      </c>
      <c r="C74" s="3" t="s">
        <v>118</v>
      </c>
      <c r="D74" s="3" t="s">
        <v>154</v>
      </c>
      <c r="E74" s="20" t="s">
        <v>352</v>
      </c>
      <c r="F74" s="3" t="s">
        <v>337</v>
      </c>
      <c r="G74" s="3" t="s">
        <v>339</v>
      </c>
      <c r="H74" s="3" t="s">
        <v>340</v>
      </c>
      <c r="I74" s="3" t="s">
        <v>341</v>
      </c>
      <c r="J74" s="3" t="s">
        <v>344</v>
      </c>
      <c r="K74" s="7" t="s">
        <v>356</v>
      </c>
      <c r="L74" s="21" t="str">
        <f t="shared" si="6"/>
        <v>3х230/400 В, 5 (100) А, 1/2, модуль связи: ?</v>
      </c>
      <c r="M74" s="3" t="s">
        <v>347</v>
      </c>
      <c r="N74" s="3" t="s">
        <v>347</v>
      </c>
      <c r="O74" s="27">
        <v>0</v>
      </c>
      <c r="P74" s="3"/>
      <c r="Q74" s="3"/>
      <c r="R74" s="7"/>
      <c r="S74" s="21" t="e">
        <v>#N/A</v>
      </c>
    </row>
    <row r="75" spans="1:19" ht="30" x14ac:dyDescent="0.25">
      <c r="A75" s="3" t="s">
        <v>203</v>
      </c>
      <c r="B75" s="7" t="s">
        <v>250</v>
      </c>
      <c r="C75" s="3" t="s">
        <v>118</v>
      </c>
      <c r="D75" s="3" t="s">
        <v>154</v>
      </c>
      <c r="E75" s="20" t="s">
        <v>352</v>
      </c>
      <c r="F75" s="3" t="s">
        <v>337</v>
      </c>
      <c r="G75" s="3" t="s">
        <v>339</v>
      </c>
      <c r="H75" s="3" t="s">
        <v>340</v>
      </c>
      <c r="I75" s="3" t="s">
        <v>341</v>
      </c>
      <c r="J75" s="3" t="s">
        <v>344</v>
      </c>
      <c r="K75" s="7" t="s">
        <v>356</v>
      </c>
      <c r="L75" s="21" t="str">
        <f t="shared" si="6"/>
        <v>3х230/400 В, 5 (100) А, 1/2, модуль связи: ?</v>
      </c>
      <c r="M75" s="3" t="s">
        <v>347</v>
      </c>
      <c r="N75" s="3" t="s">
        <v>347</v>
      </c>
      <c r="O75" s="27">
        <v>0</v>
      </c>
      <c r="P75" s="3"/>
      <c r="Q75" s="3"/>
      <c r="R75" s="7"/>
      <c r="S75" s="21" t="e">
        <v>#N/A</v>
      </c>
    </row>
    <row r="76" spans="1:19" ht="45" x14ac:dyDescent="0.25">
      <c r="A76" s="3" t="s">
        <v>54</v>
      </c>
      <c r="B76" s="7" t="s">
        <v>317</v>
      </c>
      <c r="C76" s="3" t="s">
        <v>118</v>
      </c>
      <c r="D76" s="3" t="s">
        <v>155</v>
      </c>
      <c r="E76" s="3" t="s">
        <v>379</v>
      </c>
      <c r="F76" s="3" t="s">
        <v>337</v>
      </c>
      <c r="G76" s="3" t="s">
        <v>353</v>
      </c>
      <c r="H76" s="3" t="s">
        <v>354</v>
      </c>
      <c r="I76" s="3" t="s">
        <v>340</v>
      </c>
      <c r="J76" s="3" t="s">
        <v>344</v>
      </c>
      <c r="K76" s="7" t="s">
        <v>347</v>
      </c>
      <c r="L76" s="21" t="str">
        <f t="shared" si="6"/>
        <v>3х57,7/100…3х230/400 В, 5 (10) А, 0,5S/1, без модуля связи</v>
      </c>
      <c r="M76" s="3" t="s">
        <v>371</v>
      </c>
      <c r="N76" s="3" t="s">
        <v>347</v>
      </c>
      <c r="O76" s="27">
        <v>0</v>
      </c>
      <c r="P76" s="3"/>
      <c r="Q76" s="3" t="s">
        <v>19</v>
      </c>
      <c r="R76" s="7" t="s">
        <v>274</v>
      </c>
      <c r="S76" s="21" t="s">
        <v>302</v>
      </c>
    </row>
    <row r="77" spans="1:19" ht="45" x14ac:dyDescent="0.25">
      <c r="A77" s="3" t="s">
        <v>55</v>
      </c>
      <c r="B77" s="7" t="s">
        <v>318</v>
      </c>
      <c r="C77" s="3" t="s">
        <v>118</v>
      </c>
      <c r="D77" s="3" t="s">
        <v>155</v>
      </c>
      <c r="E77" s="3" t="s">
        <v>379</v>
      </c>
      <c r="F77" s="3" t="s">
        <v>337</v>
      </c>
      <c r="G77" s="3" t="s">
        <v>353</v>
      </c>
      <c r="H77" s="3" t="s">
        <v>354</v>
      </c>
      <c r="I77" s="3" t="s">
        <v>340</v>
      </c>
      <c r="J77" s="3" t="s">
        <v>344</v>
      </c>
      <c r="K77" s="7" t="s">
        <v>69</v>
      </c>
      <c r="L77" s="21" t="str">
        <f t="shared" si="6"/>
        <v>3х57,7/100…3х230/400 В, 5 (10) А, 0,5S/1, модуль связи: MC.3-P-W</v>
      </c>
      <c r="M77" s="3" t="s">
        <v>347</v>
      </c>
      <c r="N77" s="3" t="s">
        <v>347</v>
      </c>
      <c r="O77" s="27">
        <v>0</v>
      </c>
      <c r="P77" s="3"/>
      <c r="Q77" s="3"/>
      <c r="R77" s="7"/>
      <c r="S77" s="21" t="e">
        <v>#N/A</v>
      </c>
    </row>
    <row r="78" spans="1:19" ht="45" x14ac:dyDescent="0.25">
      <c r="A78" s="3" t="s">
        <v>56</v>
      </c>
      <c r="B78" s="7" t="s">
        <v>251</v>
      </c>
      <c r="C78" s="3" t="s">
        <v>118</v>
      </c>
      <c r="D78" s="3" t="s">
        <v>155</v>
      </c>
      <c r="E78" s="3" t="s">
        <v>379</v>
      </c>
      <c r="F78" s="3" t="s">
        <v>337</v>
      </c>
      <c r="G78" s="3" t="s">
        <v>353</v>
      </c>
      <c r="H78" s="3" t="s">
        <v>354</v>
      </c>
      <c r="I78" s="3" t="s">
        <v>340</v>
      </c>
      <c r="J78" s="3" t="s">
        <v>344</v>
      </c>
      <c r="K78" s="7" t="s">
        <v>71</v>
      </c>
      <c r="L78" s="21" t="str">
        <f t="shared" si="6"/>
        <v>3х57,7/100…3х230/400 В, 5 (10) А, 0,5S/1, модуль связи: MC.3-P-E</v>
      </c>
      <c r="M78" s="3" t="s">
        <v>347</v>
      </c>
      <c r="N78" s="3" t="s">
        <v>347</v>
      </c>
      <c r="O78" s="27">
        <v>0</v>
      </c>
      <c r="P78" s="3"/>
      <c r="Q78" s="3"/>
      <c r="R78" s="7"/>
      <c r="S78" s="21" t="e">
        <v>#N/A</v>
      </c>
    </row>
    <row r="79" spans="1:19" ht="45" x14ac:dyDescent="0.25">
      <c r="A79" s="3" t="s">
        <v>57</v>
      </c>
      <c r="B79" s="7" t="s">
        <v>252</v>
      </c>
      <c r="C79" s="3" t="s">
        <v>118</v>
      </c>
      <c r="D79" s="3" t="s">
        <v>155</v>
      </c>
      <c r="E79" s="3" t="s">
        <v>379</v>
      </c>
      <c r="F79" s="3" t="s">
        <v>337</v>
      </c>
      <c r="G79" s="3" t="s">
        <v>353</v>
      </c>
      <c r="H79" s="3" t="s">
        <v>354</v>
      </c>
      <c r="I79" s="3" t="s">
        <v>340</v>
      </c>
      <c r="J79" s="3" t="s">
        <v>344</v>
      </c>
      <c r="K79" s="7" t="s">
        <v>73</v>
      </c>
      <c r="L79" s="21" t="str">
        <f t="shared" si="6"/>
        <v>3х57,7/100…3х230/400 В, 5 (10) А, 0,5S/1, модуль связи: MC.3-P-F</v>
      </c>
      <c r="M79" s="3" t="s">
        <v>347</v>
      </c>
      <c r="N79" s="3" t="s">
        <v>347</v>
      </c>
      <c r="O79" s="27">
        <v>0</v>
      </c>
      <c r="P79" s="3"/>
      <c r="Q79" s="3"/>
      <c r="R79" s="7"/>
      <c r="S79" s="21" t="e">
        <v>#N/A</v>
      </c>
    </row>
    <row r="80" spans="1:19" ht="45" x14ac:dyDescent="0.25">
      <c r="A80" s="3" t="s">
        <v>204</v>
      </c>
      <c r="B80" s="7" t="s">
        <v>253</v>
      </c>
      <c r="C80" s="3" t="s">
        <v>118</v>
      </c>
      <c r="D80" s="3" t="s">
        <v>155</v>
      </c>
      <c r="E80" s="3" t="s">
        <v>379</v>
      </c>
      <c r="F80" s="3" t="s">
        <v>337</v>
      </c>
      <c r="G80" s="3" t="s">
        <v>353</v>
      </c>
      <c r="H80" s="3" t="s">
        <v>354</v>
      </c>
      <c r="I80" s="3" t="s">
        <v>340</v>
      </c>
      <c r="J80" s="3" t="s">
        <v>344</v>
      </c>
      <c r="K80" s="7" t="s">
        <v>75</v>
      </c>
      <c r="L80" s="21" t="str">
        <f t="shared" si="6"/>
        <v>3х57,7/100…3х230/400 В, 5 (10) А, 0,5S/1, модуль связи: MC.3-P-L</v>
      </c>
      <c r="M80" s="3" t="s">
        <v>347</v>
      </c>
      <c r="N80" s="3" t="s">
        <v>347</v>
      </c>
      <c r="O80" s="27">
        <v>0</v>
      </c>
      <c r="P80" s="3"/>
      <c r="Q80" s="3"/>
      <c r="R80" s="7"/>
      <c r="S80" s="21" t="e">
        <v>#N/A</v>
      </c>
    </row>
    <row r="81" spans="1:19" ht="60" x14ac:dyDescent="0.25">
      <c r="A81" s="3" t="s">
        <v>205</v>
      </c>
      <c r="B81" s="7" t="s">
        <v>254</v>
      </c>
      <c r="C81" s="3" t="s">
        <v>118</v>
      </c>
      <c r="D81" s="3" t="s">
        <v>155</v>
      </c>
      <c r="E81" s="3" t="s">
        <v>379</v>
      </c>
      <c r="F81" s="3" t="s">
        <v>337</v>
      </c>
      <c r="G81" s="3" t="s">
        <v>353</v>
      </c>
      <c r="H81" s="3" t="s">
        <v>354</v>
      </c>
      <c r="I81" s="3" t="s">
        <v>340</v>
      </c>
      <c r="J81" s="3" t="s">
        <v>344</v>
      </c>
      <c r="K81" s="7" t="s">
        <v>349</v>
      </c>
      <c r="L81" s="21" t="str">
        <f t="shared" si="6"/>
        <v>3х57,7/100…3х230/400 В, 5 (10) А, 0,5S/1, модули связи: MC.3-P-G,MC.3-P-G1,MC.3T-P-G</v>
      </c>
      <c r="M81" s="3" t="s">
        <v>347</v>
      </c>
      <c r="N81" s="3" t="s">
        <v>372</v>
      </c>
      <c r="O81" s="27">
        <v>0</v>
      </c>
      <c r="P81" s="3"/>
      <c r="Q81" s="3" t="s">
        <v>19</v>
      </c>
      <c r="R81" s="7" t="s">
        <v>275</v>
      </c>
      <c r="S81" s="21" t="s">
        <v>301</v>
      </c>
    </row>
    <row r="82" spans="1:19" ht="45" x14ac:dyDescent="0.25">
      <c r="A82" s="3" t="s">
        <v>206</v>
      </c>
      <c r="B82" s="7" t="s">
        <v>255</v>
      </c>
      <c r="C82" s="3" t="s">
        <v>118</v>
      </c>
      <c r="D82" s="3" t="s">
        <v>155</v>
      </c>
      <c r="E82" s="3" t="s">
        <v>379</v>
      </c>
      <c r="F82" s="3" t="s">
        <v>337</v>
      </c>
      <c r="G82" s="3" t="s">
        <v>353</v>
      </c>
      <c r="H82" s="3" t="s">
        <v>354</v>
      </c>
      <c r="I82" s="3" t="s">
        <v>340</v>
      </c>
      <c r="J82" s="3" t="s">
        <v>344</v>
      </c>
      <c r="K82" s="7" t="s">
        <v>80</v>
      </c>
      <c r="L82" s="21" t="str">
        <f t="shared" si="6"/>
        <v>3х57,7/100…3х230/400 В, 5 (10) А, 0,5S/1, модуль связи: MC.3-P-P</v>
      </c>
      <c r="M82" s="3" t="s">
        <v>347</v>
      </c>
      <c r="N82" s="3" t="s">
        <v>347</v>
      </c>
      <c r="O82" s="27">
        <v>0</v>
      </c>
      <c r="P82" s="3"/>
      <c r="Q82" s="3"/>
      <c r="R82" s="7"/>
      <c r="S82" s="21" t="e">
        <v>#N/A</v>
      </c>
    </row>
    <row r="83" spans="1:19" ht="45" x14ac:dyDescent="0.25">
      <c r="A83" s="3" t="s">
        <v>207</v>
      </c>
      <c r="B83" s="7" t="s">
        <v>256</v>
      </c>
      <c r="C83" s="3" t="s">
        <v>118</v>
      </c>
      <c r="D83" s="3" t="s">
        <v>155</v>
      </c>
      <c r="E83" s="3" t="s">
        <v>379</v>
      </c>
      <c r="F83" s="3" t="s">
        <v>337</v>
      </c>
      <c r="G83" s="3" t="s">
        <v>353</v>
      </c>
      <c r="H83" s="3" t="s">
        <v>354</v>
      </c>
      <c r="I83" s="3" t="s">
        <v>340</v>
      </c>
      <c r="J83" s="3" t="s">
        <v>344</v>
      </c>
      <c r="K83" s="7" t="s">
        <v>82</v>
      </c>
      <c r="L83" s="21" t="str">
        <f t="shared" si="6"/>
        <v>3х57,7/100…3х230/400 В, 5 (10) А, 0,5S/1, модуль связи: MC.3-P-Z</v>
      </c>
      <c r="M83" s="3" t="s">
        <v>347</v>
      </c>
      <c r="N83" s="3" t="s">
        <v>347</v>
      </c>
      <c r="O83" s="27">
        <v>0</v>
      </c>
      <c r="P83" s="3"/>
      <c r="Q83" s="3"/>
      <c r="R83" s="7"/>
      <c r="S83" s="21" t="e">
        <v>#N/A</v>
      </c>
    </row>
    <row r="84" spans="1:19" ht="45" x14ac:dyDescent="0.25">
      <c r="A84" s="3" t="s">
        <v>208</v>
      </c>
      <c r="B84" s="7" t="s">
        <v>257</v>
      </c>
      <c r="C84" s="3" t="s">
        <v>118</v>
      </c>
      <c r="D84" s="3" t="s">
        <v>155</v>
      </c>
      <c r="E84" s="3" t="s">
        <v>379</v>
      </c>
      <c r="F84" s="3" t="s">
        <v>337</v>
      </c>
      <c r="G84" s="3" t="s">
        <v>353</v>
      </c>
      <c r="H84" s="3" t="s">
        <v>354</v>
      </c>
      <c r="I84" s="3" t="s">
        <v>340</v>
      </c>
      <c r="J84" s="3" t="s">
        <v>344</v>
      </c>
      <c r="K84" s="7" t="s">
        <v>84</v>
      </c>
      <c r="L84" s="21" t="str">
        <f t="shared" si="6"/>
        <v>3х57,7/100…3х230/400 В, 5 (10) А, 0,5S/1, модуль связи: MC.3-P-M</v>
      </c>
      <c r="M84" s="3" t="s">
        <v>347</v>
      </c>
      <c r="N84" s="3" t="s">
        <v>347</v>
      </c>
      <c r="O84" s="27">
        <v>0</v>
      </c>
      <c r="P84" s="3"/>
      <c r="Q84" s="3"/>
      <c r="R84" s="7"/>
      <c r="S84" s="21" t="e">
        <v>#N/A</v>
      </c>
    </row>
    <row r="85" spans="1:19" ht="45" x14ac:dyDescent="0.25">
      <c r="A85" s="3" t="s">
        <v>209</v>
      </c>
      <c r="B85" s="7" t="s">
        <v>319</v>
      </c>
      <c r="C85" s="3" t="s">
        <v>118</v>
      </c>
      <c r="D85" s="3" t="s">
        <v>276</v>
      </c>
      <c r="E85" s="3"/>
      <c r="F85" s="3"/>
      <c r="G85" s="3"/>
      <c r="H85" s="3"/>
      <c r="I85" s="3"/>
      <c r="J85" s="3"/>
      <c r="K85" s="7" t="s">
        <v>347</v>
      </c>
      <c r="L85" s="3" t="s">
        <v>276</v>
      </c>
      <c r="M85" s="3" t="s">
        <v>347</v>
      </c>
      <c r="N85" s="3" t="s">
        <v>347</v>
      </c>
      <c r="O85" s="27">
        <v>0</v>
      </c>
      <c r="P85" s="3"/>
      <c r="Q85" s="3" t="s">
        <v>276</v>
      </c>
      <c r="R85" s="7" t="s">
        <v>277</v>
      </c>
      <c r="S85" s="21" t="e">
        <v>#N/A</v>
      </c>
    </row>
    <row r="86" spans="1:19" x14ac:dyDescent="0.25">
      <c r="A86" s="3" t="s">
        <v>59</v>
      </c>
      <c r="B86" s="7" t="s">
        <v>321</v>
      </c>
      <c r="C86" s="3" t="s">
        <v>121</v>
      </c>
      <c r="D86" s="3" t="s">
        <v>157</v>
      </c>
      <c r="E86" s="3"/>
      <c r="F86" s="3"/>
      <c r="G86" s="3"/>
      <c r="H86" s="3"/>
      <c r="I86" s="3"/>
      <c r="J86" s="3"/>
      <c r="K86" s="7"/>
      <c r="L86" s="21"/>
      <c r="M86" s="3"/>
      <c r="N86" s="3"/>
      <c r="O86" s="27">
        <v>0</v>
      </c>
      <c r="P86" s="3"/>
      <c r="Q86" s="3"/>
      <c r="R86" s="7"/>
      <c r="S86" s="21" t="e">
        <v>#N/A</v>
      </c>
    </row>
    <row r="87" spans="1:19" x14ac:dyDescent="0.25">
      <c r="A87" s="3" t="s">
        <v>60</v>
      </c>
      <c r="B87" s="7" t="s">
        <v>322</v>
      </c>
      <c r="C87" s="3" t="s">
        <v>121</v>
      </c>
      <c r="D87" s="3" t="s">
        <v>157</v>
      </c>
      <c r="E87" s="3"/>
      <c r="F87" s="3"/>
      <c r="G87" s="3"/>
      <c r="H87" s="3"/>
      <c r="I87" s="3"/>
      <c r="J87" s="3"/>
      <c r="K87" s="7"/>
      <c r="L87" s="21"/>
      <c r="M87" s="3"/>
      <c r="N87" s="3"/>
      <c r="O87" s="27">
        <v>0</v>
      </c>
      <c r="P87" s="3"/>
      <c r="Q87" s="3"/>
      <c r="R87" s="7"/>
      <c r="S87" s="21" t="e">
        <v>#N/A</v>
      </c>
    </row>
    <row r="88" spans="1:19" x14ac:dyDescent="0.25">
      <c r="A88" s="3" t="s">
        <v>61</v>
      </c>
      <c r="B88" s="7" t="s">
        <v>323</v>
      </c>
      <c r="C88" s="3" t="s">
        <v>121</v>
      </c>
      <c r="D88" s="3" t="s">
        <v>157</v>
      </c>
      <c r="E88" s="3"/>
      <c r="F88" s="3"/>
      <c r="G88" s="3"/>
      <c r="H88" s="3"/>
      <c r="I88" s="3"/>
      <c r="J88" s="3"/>
      <c r="K88" s="7"/>
      <c r="L88" s="21"/>
      <c r="M88" s="3"/>
      <c r="N88" s="3"/>
      <c r="O88" s="27">
        <v>0</v>
      </c>
      <c r="P88" s="3"/>
      <c r="Q88" s="3"/>
      <c r="R88" s="7"/>
      <c r="S88" s="21" t="e">
        <v>#N/A</v>
      </c>
    </row>
    <row r="89" spans="1:19" x14ac:dyDescent="0.25">
      <c r="A89" s="3" t="s">
        <v>62</v>
      </c>
      <c r="B89" s="7" t="s">
        <v>324</v>
      </c>
      <c r="C89" s="3" t="s">
        <v>121</v>
      </c>
      <c r="D89" s="3" t="s">
        <v>157</v>
      </c>
      <c r="E89" s="3"/>
      <c r="F89" s="3"/>
      <c r="G89" s="3"/>
      <c r="H89" s="3"/>
      <c r="I89" s="3"/>
      <c r="J89" s="3"/>
      <c r="K89" s="7"/>
      <c r="L89" s="21"/>
      <c r="M89" s="3"/>
      <c r="N89" s="3"/>
      <c r="O89" s="27">
        <v>0</v>
      </c>
      <c r="P89" s="3"/>
      <c r="Q89" s="3"/>
      <c r="R89" s="7"/>
      <c r="S89" s="21" t="e">
        <v>#N/A</v>
      </c>
    </row>
    <row r="90" spans="1:19" ht="30" x14ac:dyDescent="0.25">
      <c r="A90" s="3" t="s">
        <v>63</v>
      </c>
      <c r="B90" s="7" t="s">
        <v>325</v>
      </c>
      <c r="C90" s="3" t="s">
        <v>121</v>
      </c>
      <c r="D90" s="3" t="s">
        <v>157</v>
      </c>
      <c r="E90" s="3"/>
      <c r="F90" s="3"/>
      <c r="G90" s="3"/>
      <c r="H90" s="3"/>
      <c r="I90" s="3"/>
      <c r="J90" s="3"/>
      <c r="K90" s="7"/>
      <c r="L90" s="21"/>
      <c r="M90" s="3"/>
      <c r="N90" s="3"/>
      <c r="O90" s="27">
        <v>0</v>
      </c>
      <c r="P90" s="3"/>
      <c r="Q90" s="3" t="s">
        <v>19</v>
      </c>
      <c r="R90" s="7" t="s">
        <v>64</v>
      </c>
      <c r="S90" s="21" t="s">
        <v>305</v>
      </c>
    </row>
    <row r="91" spans="1:19" x14ac:dyDescent="0.25">
      <c r="A91" s="3" t="s">
        <v>65</v>
      </c>
      <c r="B91" s="7" t="s">
        <v>326</v>
      </c>
      <c r="C91" s="3" t="s">
        <v>121</v>
      </c>
      <c r="D91" s="3" t="s">
        <v>157</v>
      </c>
      <c r="E91" s="3"/>
      <c r="F91" s="3"/>
      <c r="G91" s="3"/>
      <c r="H91" s="3"/>
      <c r="I91" s="3"/>
      <c r="J91" s="3"/>
      <c r="K91" s="7"/>
      <c r="L91" s="21"/>
      <c r="M91" s="3"/>
      <c r="N91" s="3"/>
      <c r="O91" s="27">
        <v>0</v>
      </c>
      <c r="P91" s="3"/>
      <c r="Q91" s="3"/>
      <c r="R91" s="7"/>
      <c r="S91" s="21" t="e">
        <v>#N/A</v>
      </c>
    </row>
    <row r="92" spans="1:19" x14ac:dyDescent="0.25">
      <c r="A92" s="3" t="s">
        <v>66</v>
      </c>
      <c r="B92" s="7" t="s">
        <v>327</v>
      </c>
      <c r="C92" s="3" t="s">
        <v>121</v>
      </c>
      <c r="D92" s="3" t="s">
        <v>157</v>
      </c>
      <c r="E92" s="3"/>
      <c r="F92" s="3"/>
      <c r="G92" s="3"/>
      <c r="H92" s="3"/>
      <c r="I92" s="3"/>
      <c r="J92" s="3"/>
      <c r="K92" s="7"/>
      <c r="L92" s="21"/>
      <c r="M92" s="3"/>
      <c r="N92" s="3"/>
      <c r="O92" s="27">
        <v>0</v>
      </c>
      <c r="P92" s="3"/>
      <c r="Q92" s="3"/>
      <c r="R92" s="7"/>
      <c r="S92" s="21" t="e">
        <v>#N/A</v>
      </c>
    </row>
    <row r="93" spans="1:19" x14ac:dyDescent="0.25">
      <c r="A93" s="3" t="s">
        <v>67</v>
      </c>
      <c r="B93" s="7" t="s">
        <v>328</v>
      </c>
      <c r="C93" s="3" t="s">
        <v>121</v>
      </c>
      <c r="D93" s="3" t="s">
        <v>157</v>
      </c>
      <c r="E93" s="3"/>
      <c r="F93" s="3"/>
      <c r="G93" s="3"/>
      <c r="H93" s="3"/>
      <c r="I93" s="3"/>
      <c r="J93" s="3"/>
      <c r="K93" s="7"/>
      <c r="L93" s="21"/>
      <c r="M93" s="3"/>
      <c r="N93" s="3"/>
      <c r="O93" s="27">
        <v>0</v>
      </c>
      <c r="P93" s="3"/>
      <c r="Q93" s="3"/>
      <c r="R93" s="7"/>
      <c r="S93" s="21" t="e">
        <v>#N/A</v>
      </c>
    </row>
    <row r="94" spans="1:19" x14ac:dyDescent="0.25">
      <c r="A94" s="3" t="s">
        <v>68</v>
      </c>
      <c r="B94" s="7" t="s">
        <v>69</v>
      </c>
      <c r="C94" s="3" t="s">
        <v>121</v>
      </c>
      <c r="D94" s="3" t="s">
        <v>158</v>
      </c>
      <c r="E94" s="3"/>
      <c r="F94" s="3"/>
      <c r="G94" s="3"/>
      <c r="H94" s="3"/>
      <c r="I94" s="3"/>
      <c r="J94" s="3"/>
      <c r="K94" s="7"/>
      <c r="L94" s="21"/>
      <c r="M94" s="3"/>
      <c r="N94" s="3"/>
      <c r="O94" s="27">
        <v>0</v>
      </c>
      <c r="P94" s="3"/>
      <c r="Q94" s="3"/>
      <c r="R94" s="7"/>
      <c r="S94" s="21" t="e">
        <v>#N/A</v>
      </c>
    </row>
    <row r="95" spans="1:19" x14ac:dyDescent="0.25">
      <c r="A95" s="3" t="s">
        <v>70</v>
      </c>
      <c r="B95" s="7" t="s">
        <v>71</v>
      </c>
      <c r="C95" s="3" t="s">
        <v>121</v>
      </c>
      <c r="D95" s="3" t="s">
        <v>158</v>
      </c>
      <c r="E95" s="3"/>
      <c r="F95" s="3"/>
      <c r="G95" s="3"/>
      <c r="H95" s="3"/>
      <c r="I95" s="3"/>
      <c r="J95" s="3"/>
      <c r="K95" s="7"/>
      <c r="L95" s="21"/>
      <c r="M95" s="3"/>
      <c r="N95" s="3"/>
      <c r="O95" s="27">
        <v>0</v>
      </c>
      <c r="P95" s="3"/>
      <c r="Q95" s="3"/>
      <c r="R95" s="7"/>
      <c r="S95" s="21" t="e">
        <v>#N/A</v>
      </c>
    </row>
    <row r="96" spans="1:19" x14ac:dyDescent="0.25">
      <c r="A96" s="3" t="s">
        <v>72</v>
      </c>
      <c r="B96" s="7" t="s">
        <v>73</v>
      </c>
      <c r="C96" s="3" t="s">
        <v>121</v>
      </c>
      <c r="D96" s="3" t="s">
        <v>158</v>
      </c>
      <c r="E96" s="3"/>
      <c r="F96" s="3"/>
      <c r="G96" s="3"/>
      <c r="H96" s="3"/>
      <c r="I96" s="3"/>
      <c r="J96" s="3"/>
      <c r="K96" s="7"/>
      <c r="L96" s="21"/>
      <c r="M96" s="3"/>
      <c r="N96" s="3"/>
      <c r="O96" s="27">
        <v>0</v>
      </c>
      <c r="P96" s="3"/>
      <c r="Q96" s="3"/>
      <c r="R96" s="7"/>
      <c r="S96" s="21" t="e">
        <v>#N/A</v>
      </c>
    </row>
    <row r="97" spans="1:19" x14ac:dyDescent="0.25">
      <c r="A97" s="3" t="s">
        <v>74</v>
      </c>
      <c r="B97" s="7" t="s">
        <v>75</v>
      </c>
      <c r="C97" s="3" t="s">
        <v>121</v>
      </c>
      <c r="D97" s="3" t="s">
        <v>158</v>
      </c>
      <c r="E97" s="3"/>
      <c r="F97" s="3"/>
      <c r="G97" s="3"/>
      <c r="H97" s="3"/>
      <c r="I97" s="3"/>
      <c r="J97" s="3"/>
      <c r="K97" s="7"/>
      <c r="L97" s="21"/>
      <c r="M97" s="3"/>
      <c r="N97" s="3"/>
      <c r="O97" s="27">
        <v>0</v>
      </c>
      <c r="P97" s="3"/>
      <c r="Q97" s="3"/>
      <c r="R97" s="7"/>
      <c r="S97" s="21" t="e">
        <v>#N/A</v>
      </c>
    </row>
    <row r="98" spans="1:19" ht="30" x14ac:dyDescent="0.25">
      <c r="A98" s="3" t="s">
        <v>76</v>
      </c>
      <c r="B98" s="7" t="s">
        <v>77</v>
      </c>
      <c r="C98" s="3" t="s">
        <v>121</v>
      </c>
      <c r="D98" s="3" t="s">
        <v>158</v>
      </c>
      <c r="E98" s="3"/>
      <c r="F98" s="3"/>
      <c r="G98" s="3"/>
      <c r="H98" s="3"/>
      <c r="I98" s="3"/>
      <c r="J98" s="3"/>
      <c r="K98" s="7"/>
      <c r="L98" s="21"/>
      <c r="M98" s="3"/>
      <c r="N98" s="3"/>
      <c r="O98" s="27">
        <v>0</v>
      </c>
      <c r="P98" s="3"/>
      <c r="Q98" s="3" t="s">
        <v>19</v>
      </c>
      <c r="R98" s="7" t="s">
        <v>78</v>
      </c>
      <c r="S98" s="21" t="s">
        <v>307</v>
      </c>
    </row>
    <row r="99" spans="1:19" x14ac:dyDescent="0.25">
      <c r="A99" s="3" t="s">
        <v>79</v>
      </c>
      <c r="B99" s="7" t="s">
        <v>80</v>
      </c>
      <c r="C99" s="3" t="s">
        <v>121</v>
      </c>
      <c r="D99" s="3" t="s">
        <v>158</v>
      </c>
      <c r="E99" s="3"/>
      <c r="F99" s="3"/>
      <c r="G99" s="3"/>
      <c r="H99" s="3"/>
      <c r="I99" s="3"/>
      <c r="J99" s="3"/>
      <c r="K99" s="7"/>
      <c r="L99" s="21"/>
      <c r="M99" s="3"/>
      <c r="N99" s="3"/>
      <c r="O99" s="27">
        <v>0</v>
      </c>
      <c r="P99" s="3"/>
      <c r="Q99" s="3"/>
      <c r="R99" s="7"/>
      <c r="S99" s="21" t="e">
        <v>#N/A</v>
      </c>
    </row>
    <row r="100" spans="1:19" x14ac:dyDescent="0.25">
      <c r="A100" s="3" t="s">
        <v>81</v>
      </c>
      <c r="B100" s="7" t="s">
        <v>82</v>
      </c>
      <c r="C100" s="3" t="s">
        <v>121</v>
      </c>
      <c r="D100" s="3" t="s">
        <v>158</v>
      </c>
      <c r="E100" s="3"/>
      <c r="F100" s="3"/>
      <c r="G100" s="3"/>
      <c r="H100" s="3"/>
      <c r="I100" s="3"/>
      <c r="J100" s="3"/>
      <c r="K100" s="7"/>
      <c r="L100" s="21"/>
      <c r="M100" s="3"/>
      <c r="N100" s="3"/>
      <c r="O100" s="27">
        <v>0</v>
      </c>
      <c r="P100" s="3"/>
      <c r="Q100" s="3"/>
      <c r="R100" s="7"/>
      <c r="S100" s="21" t="e">
        <v>#N/A</v>
      </c>
    </row>
    <row r="101" spans="1:19" x14ac:dyDescent="0.25">
      <c r="A101" s="3" t="s">
        <v>83</v>
      </c>
      <c r="B101" s="7" t="s">
        <v>84</v>
      </c>
      <c r="C101" s="3" t="s">
        <v>121</v>
      </c>
      <c r="D101" s="3" t="s">
        <v>158</v>
      </c>
      <c r="E101" s="3"/>
      <c r="F101" s="3"/>
      <c r="G101" s="3"/>
      <c r="H101" s="3"/>
      <c r="I101" s="3"/>
      <c r="J101" s="3"/>
      <c r="K101" s="7"/>
      <c r="L101" s="21"/>
      <c r="M101" s="3"/>
      <c r="N101" s="3"/>
      <c r="O101" s="27">
        <v>0</v>
      </c>
      <c r="P101" s="3"/>
      <c r="Q101" s="3"/>
      <c r="R101" s="7"/>
      <c r="S101" s="21" t="e">
        <v>#N/A</v>
      </c>
    </row>
    <row r="102" spans="1:19" ht="30" x14ac:dyDescent="0.25">
      <c r="A102" s="3" t="s">
        <v>85</v>
      </c>
      <c r="B102" s="7" t="s">
        <v>283</v>
      </c>
      <c r="C102" s="3" t="s">
        <v>121</v>
      </c>
      <c r="D102" s="3" t="s">
        <v>156</v>
      </c>
      <c r="E102" s="3"/>
      <c r="F102" s="3"/>
      <c r="G102" s="3"/>
      <c r="H102" s="3"/>
      <c r="I102" s="3"/>
      <c r="J102" s="3"/>
      <c r="K102" s="7"/>
      <c r="L102" s="21"/>
      <c r="M102" s="3"/>
      <c r="N102" s="3"/>
      <c r="O102" s="27">
        <v>0</v>
      </c>
      <c r="P102" s="3"/>
      <c r="Q102" s="3" t="s">
        <v>19</v>
      </c>
      <c r="R102" s="7" t="s">
        <v>86</v>
      </c>
      <c r="S102" s="21" t="e">
        <v>#N/A</v>
      </c>
    </row>
    <row r="103" spans="1:19" ht="30" x14ac:dyDescent="0.25">
      <c r="A103" s="3" t="s">
        <v>87</v>
      </c>
      <c r="B103" s="7" t="s">
        <v>329</v>
      </c>
      <c r="C103" s="3" t="s">
        <v>121</v>
      </c>
      <c r="D103" s="3" t="s">
        <v>159</v>
      </c>
      <c r="E103" s="3"/>
      <c r="F103" s="3"/>
      <c r="G103" s="3"/>
      <c r="H103" s="3"/>
      <c r="I103" s="3"/>
      <c r="J103" s="3"/>
      <c r="K103" s="7"/>
      <c r="L103" s="21"/>
      <c r="M103" s="3"/>
      <c r="N103" s="3"/>
      <c r="O103" s="27">
        <v>0</v>
      </c>
      <c r="P103" s="3"/>
      <c r="Q103" s="3" t="s">
        <v>88</v>
      </c>
      <c r="R103" s="7" t="s">
        <v>89</v>
      </c>
      <c r="S103" s="21" t="s">
        <v>306</v>
      </c>
    </row>
    <row r="104" spans="1:19" ht="30" x14ac:dyDescent="0.25">
      <c r="A104" s="3" t="s">
        <v>90</v>
      </c>
      <c r="B104" s="7" t="s">
        <v>91</v>
      </c>
      <c r="C104" s="3" t="s">
        <v>121</v>
      </c>
      <c r="D104" s="3" t="s">
        <v>161</v>
      </c>
      <c r="E104" s="3"/>
      <c r="F104" s="3"/>
      <c r="G104" s="3"/>
      <c r="H104" s="3"/>
      <c r="I104" s="3"/>
      <c r="J104" s="3"/>
      <c r="K104" s="7"/>
      <c r="L104" s="21"/>
      <c r="M104" s="3"/>
      <c r="N104" s="3"/>
      <c r="O104" s="27">
        <v>0</v>
      </c>
      <c r="P104" s="3"/>
      <c r="Q104" s="3" t="s">
        <v>23</v>
      </c>
      <c r="R104" s="7" t="s">
        <v>92</v>
      </c>
      <c r="S104" s="21" t="e">
        <v>#N/A</v>
      </c>
    </row>
    <row r="105" spans="1:19" ht="30" x14ac:dyDescent="0.25">
      <c r="A105" s="3" t="s">
        <v>93</v>
      </c>
      <c r="B105" s="7" t="s">
        <v>94</v>
      </c>
      <c r="C105" s="3" t="s">
        <v>121</v>
      </c>
      <c r="D105" s="3" t="s">
        <v>162</v>
      </c>
      <c r="E105" s="3"/>
      <c r="F105" s="3"/>
      <c r="G105" s="3"/>
      <c r="H105" s="3"/>
      <c r="I105" s="3"/>
      <c r="J105" s="3"/>
      <c r="K105" s="7"/>
      <c r="L105" s="21"/>
      <c r="M105" s="3"/>
      <c r="N105" s="3"/>
      <c r="O105" s="27">
        <v>0</v>
      </c>
      <c r="P105" s="3"/>
      <c r="Q105" s="3" t="s">
        <v>23</v>
      </c>
      <c r="R105" s="7" t="s">
        <v>95</v>
      </c>
      <c r="S105" s="21" t="e">
        <v>#N/A</v>
      </c>
    </row>
    <row r="106" spans="1:19" ht="30" x14ac:dyDescent="0.25">
      <c r="A106" s="3" t="s">
        <v>96</v>
      </c>
      <c r="B106" s="7" t="s">
        <v>97</v>
      </c>
      <c r="C106" s="3" t="s">
        <v>121</v>
      </c>
      <c r="D106" s="3" t="s">
        <v>160</v>
      </c>
      <c r="E106" s="3"/>
      <c r="F106" s="3"/>
      <c r="G106" s="3"/>
      <c r="H106" s="3"/>
      <c r="I106" s="3"/>
      <c r="J106" s="3"/>
      <c r="K106" s="7"/>
      <c r="L106" s="21"/>
      <c r="M106" s="3"/>
      <c r="N106" s="3"/>
      <c r="O106" s="27">
        <v>0</v>
      </c>
      <c r="P106" s="3"/>
      <c r="Q106" s="3" t="s">
        <v>98</v>
      </c>
      <c r="R106" s="7" t="s">
        <v>99</v>
      </c>
      <c r="S106" s="21" t="s">
        <v>308</v>
      </c>
    </row>
    <row r="107" spans="1:19" x14ac:dyDescent="0.25">
      <c r="A107" s="3" t="s">
        <v>100</v>
      </c>
      <c r="B107" s="7" t="s">
        <v>101</v>
      </c>
      <c r="C107" s="3" t="s">
        <v>101</v>
      </c>
      <c r="D107" s="3" t="s">
        <v>101</v>
      </c>
      <c r="E107" s="3"/>
      <c r="F107" s="3"/>
      <c r="G107" s="3"/>
      <c r="H107" s="3"/>
      <c r="I107" s="3"/>
      <c r="J107" s="3"/>
      <c r="K107" s="7"/>
      <c r="L107" s="21"/>
      <c r="M107" s="3"/>
      <c r="N107" s="3"/>
      <c r="O107" s="27">
        <v>0</v>
      </c>
      <c r="P107" s="3"/>
      <c r="Q107" s="3"/>
      <c r="R107" s="7"/>
      <c r="S107" s="21" t="e">
        <v>#N/A</v>
      </c>
    </row>
    <row r="108" spans="1:19" x14ac:dyDescent="0.25">
      <c r="A108" s="3" t="s">
        <v>102</v>
      </c>
      <c r="B108" s="7" t="s">
        <v>152</v>
      </c>
      <c r="C108" s="3" t="s">
        <v>152</v>
      </c>
      <c r="D108" s="3" t="s">
        <v>152</v>
      </c>
      <c r="E108" s="3"/>
      <c r="F108" s="3"/>
      <c r="G108" s="3"/>
      <c r="H108" s="3"/>
      <c r="I108" s="3"/>
      <c r="J108" s="3"/>
      <c r="K108" s="7"/>
      <c r="L108" s="21"/>
      <c r="M108" s="3"/>
      <c r="N108" s="3"/>
      <c r="O108" s="27">
        <v>0</v>
      </c>
      <c r="P108" s="3"/>
      <c r="Q108" s="3"/>
      <c r="R108" s="7"/>
      <c r="S108" s="21" t="e">
        <v>#N/A</v>
      </c>
    </row>
    <row r="109" spans="1:19" ht="30" x14ac:dyDescent="0.25">
      <c r="A109" s="3" t="s">
        <v>103</v>
      </c>
      <c r="B109" s="7" t="s">
        <v>104</v>
      </c>
      <c r="C109" s="3" t="s">
        <v>104</v>
      </c>
      <c r="D109" s="3" t="s">
        <v>104</v>
      </c>
      <c r="E109" s="3"/>
      <c r="F109" s="3"/>
      <c r="G109" s="3"/>
      <c r="H109" s="3"/>
      <c r="I109" s="3"/>
      <c r="J109" s="3"/>
      <c r="K109" s="7"/>
      <c r="L109" s="21"/>
      <c r="M109" s="3"/>
      <c r="N109" s="3"/>
      <c r="O109" s="27">
        <v>0</v>
      </c>
      <c r="P109" s="3"/>
      <c r="Q109" s="3"/>
      <c r="R109" s="7" t="s">
        <v>278</v>
      </c>
      <c r="S109" s="21" t="e">
        <v>#N/A</v>
      </c>
    </row>
    <row r="110" spans="1:19" ht="30" x14ac:dyDescent="0.25">
      <c r="A110" s="3" t="s">
        <v>105</v>
      </c>
      <c r="B110" s="7" t="s">
        <v>106</v>
      </c>
      <c r="C110" s="3" t="s">
        <v>106</v>
      </c>
      <c r="D110" s="3" t="s">
        <v>106</v>
      </c>
      <c r="E110" s="3"/>
      <c r="F110" s="3"/>
      <c r="G110" s="3"/>
      <c r="H110" s="3"/>
      <c r="I110" s="3"/>
      <c r="J110" s="3"/>
      <c r="K110" s="7"/>
      <c r="L110" s="21"/>
      <c r="M110" s="3"/>
      <c r="N110" s="3"/>
      <c r="O110" s="27">
        <v>0</v>
      </c>
      <c r="P110" s="3"/>
      <c r="Q110" s="3" t="s">
        <v>19</v>
      </c>
      <c r="R110" s="7" t="s">
        <v>278</v>
      </c>
      <c r="S110" s="21" t="e">
        <v>#N/A</v>
      </c>
    </row>
    <row r="111" spans="1:19" ht="90" x14ac:dyDescent="0.25">
      <c r="A111" s="3" t="s">
        <v>107</v>
      </c>
      <c r="B111" s="7" t="s">
        <v>345</v>
      </c>
      <c r="C111" s="3" t="s">
        <v>119</v>
      </c>
      <c r="D111" s="3" t="s">
        <v>284</v>
      </c>
      <c r="E111" s="3"/>
      <c r="F111" s="3"/>
      <c r="G111" s="3"/>
      <c r="H111" s="3"/>
      <c r="I111" s="3"/>
      <c r="J111" s="3"/>
      <c r="K111" s="7"/>
      <c r="L111" s="21"/>
      <c r="M111" s="3"/>
      <c r="N111" s="3"/>
      <c r="O111" s="27">
        <v>0</v>
      </c>
      <c r="P111" s="3"/>
      <c r="Q111" s="3"/>
      <c r="R111" s="7"/>
      <c r="S111" s="21" t="e">
        <v>#N/A</v>
      </c>
    </row>
    <row r="112" spans="1:19" x14ac:dyDescent="0.25">
      <c r="A112" s="3" t="s">
        <v>109</v>
      </c>
      <c r="B112" s="7" t="s">
        <v>320</v>
      </c>
      <c r="C112" s="3" t="s">
        <v>120</v>
      </c>
      <c r="D112" s="3" t="s">
        <v>285</v>
      </c>
      <c r="E112" s="3"/>
      <c r="F112" s="3"/>
      <c r="G112" s="3"/>
      <c r="H112" s="3"/>
      <c r="I112" s="3"/>
      <c r="J112" s="3"/>
      <c r="K112" s="7"/>
      <c r="L112" s="21"/>
      <c r="M112" s="3"/>
      <c r="N112" s="3"/>
      <c r="O112" s="27">
        <v>0</v>
      </c>
      <c r="P112" s="3"/>
      <c r="Q112" s="3" t="s">
        <v>111</v>
      </c>
      <c r="R112" s="7"/>
      <c r="S112" s="21" t="e">
        <v>#N/A</v>
      </c>
    </row>
    <row r="113" spans="1:19" x14ac:dyDescent="0.25">
      <c r="A113" s="3" t="s">
        <v>112</v>
      </c>
      <c r="B113" s="7" t="s">
        <v>113</v>
      </c>
      <c r="C113" s="3" t="s">
        <v>120</v>
      </c>
      <c r="D113" s="3" t="s">
        <v>113</v>
      </c>
      <c r="E113" s="3"/>
      <c r="F113" s="3"/>
      <c r="G113" s="3"/>
      <c r="H113" s="3"/>
      <c r="I113" s="3"/>
      <c r="J113" s="3"/>
      <c r="K113" s="7"/>
      <c r="L113" s="21"/>
      <c r="M113" s="3"/>
      <c r="N113" s="3"/>
      <c r="O113" s="27">
        <v>0</v>
      </c>
      <c r="P113" s="3"/>
      <c r="Q113" s="3"/>
      <c r="R113" s="7"/>
      <c r="S113" s="21" t="e">
        <v>#N/A</v>
      </c>
    </row>
    <row r="114" spans="1:19" x14ac:dyDescent="0.25">
      <c r="A114" s="3" t="s">
        <v>114</v>
      </c>
      <c r="B114" s="7" t="s">
        <v>115</v>
      </c>
      <c r="C114" s="3" t="s">
        <v>120</v>
      </c>
      <c r="D114" s="3" t="s">
        <v>115</v>
      </c>
      <c r="E114" s="3"/>
      <c r="F114" s="3"/>
      <c r="G114" s="3"/>
      <c r="H114" s="3"/>
      <c r="I114" s="3"/>
      <c r="J114" s="3"/>
      <c r="K114" s="7"/>
      <c r="L114" s="21"/>
      <c r="M114" s="3"/>
      <c r="N114" s="3"/>
      <c r="O114" s="27">
        <v>0</v>
      </c>
      <c r="P114" s="3"/>
      <c r="Q114" s="3"/>
      <c r="R114" s="7"/>
      <c r="S114" s="21" t="e">
        <v>#N/A</v>
      </c>
    </row>
    <row r="115" spans="1:19" x14ac:dyDescent="0.25">
      <c r="A115" s="3" t="s">
        <v>116</v>
      </c>
      <c r="B115" s="7" t="s">
        <v>117</v>
      </c>
      <c r="C115" s="3" t="s">
        <v>120</v>
      </c>
      <c r="D115" s="3" t="s">
        <v>117</v>
      </c>
      <c r="E115" s="3"/>
      <c r="F115" s="3"/>
      <c r="G115" s="3"/>
      <c r="H115" s="3"/>
      <c r="I115" s="3"/>
      <c r="J115" s="3"/>
      <c r="K115" s="7"/>
      <c r="L115" s="21"/>
      <c r="M115" s="3"/>
      <c r="N115" s="3"/>
      <c r="O115" s="27">
        <v>0</v>
      </c>
      <c r="P115" s="3"/>
      <c r="Q115" s="3"/>
      <c r="R115" s="7"/>
      <c r="S115" s="21" t="e">
        <v>#N/A</v>
      </c>
    </row>
  </sheetData>
  <sheetProtection selectLockedCells="1" selectUnlockedCells="1"/>
  <autoFilter ref="A3:R115" xr:uid="{00000000-0009-0000-0000-000005000000}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Product</vt:lpstr>
      <vt:lpstr>Employeers</vt:lpstr>
      <vt:lpstr>Описание изделий_210224</vt:lpstr>
      <vt:lpstr>Product0_исх</vt:lpstr>
      <vt:lpstr>Product281123_исх</vt:lpstr>
      <vt:lpstr>Product260224_исх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</dc:creator>
  <cp:lastModifiedBy>User</cp:lastModifiedBy>
  <cp:revision>5</cp:revision>
  <cp:lastPrinted>1601-01-01T00:00:00Z</cp:lastPrinted>
  <dcterms:created xsi:type="dcterms:W3CDTF">2015-06-05T15:19:34Z</dcterms:created>
  <dcterms:modified xsi:type="dcterms:W3CDTF">2025-09-12T06:09:13Z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</Properties>
</file>